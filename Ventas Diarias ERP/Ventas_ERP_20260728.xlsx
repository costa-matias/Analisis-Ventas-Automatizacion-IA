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TXN-20260728-001</t>
        </is>
      </c>
      <c r="B2" s="3" t="n">
        <v>46231.38050925926</v>
      </c>
      <c r="C2" s="4" t="inlineStr">
        <is>
          <t>SUC-002 Norte</t>
        </is>
      </c>
      <c r="D2" s="4" t="inlineStr">
        <is>
          <t>Tienda Física</t>
        </is>
      </c>
      <c r="E2" s="2" t="inlineStr">
        <is>
          <t>CLI-6663</t>
        </is>
      </c>
      <c r="F2" s="4" t="inlineStr">
        <is>
          <t>Transferencia</t>
        </is>
      </c>
      <c r="G2" s="4" t="inlineStr">
        <is>
          <t>VEN-103 (Carlos Ruiz)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TXN-20260728-002</t>
        </is>
      </c>
      <c r="B3" s="7" t="n">
        <v>46231.65175925926</v>
      </c>
      <c r="C3" s="8" t="inlineStr">
        <is>
          <t>SUC-001 Centro</t>
        </is>
      </c>
      <c r="D3" s="8" t="inlineStr">
        <is>
          <t>Venta Telefónica</t>
        </is>
      </c>
      <c r="E3" s="6" t="inlineStr">
        <is>
          <t>CLI-6409</t>
        </is>
      </c>
      <c r="F3" s="8" t="inlineStr">
        <is>
          <t>Transferencia</t>
        </is>
      </c>
      <c r="G3" s="8" t="inlineStr">
        <is>
          <t>VEN-102 (María Gómez)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TXN-20260728-003</t>
        </is>
      </c>
      <c r="B4" s="3" t="n">
        <v>46231.82924768519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CLI-7211</t>
        </is>
      </c>
      <c r="F4" s="4" t="inlineStr">
        <is>
          <t>Tarjeta Débito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TXN-20260728-004</t>
        </is>
      </c>
      <c r="B5" s="7" t="n">
        <v>46231.77521990741</v>
      </c>
      <c r="C5" s="8" t="inlineStr">
        <is>
          <t>SUC-002 Norte</t>
        </is>
      </c>
      <c r="D5" s="8" t="inlineStr">
        <is>
          <t>Tienda Física</t>
        </is>
      </c>
      <c r="E5" s="6" t="inlineStr">
        <is>
          <t>CLI-3780</t>
        </is>
      </c>
      <c r="F5" s="8" t="inlineStr">
        <is>
          <t>Tarjeta Crédito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TXN-20260728-005</t>
        </is>
      </c>
      <c r="B6" s="3" t="n">
        <v>46231.564375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CLI-8784</t>
        </is>
      </c>
      <c r="F6" s="4" t="inlineStr">
        <is>
          <t>Tarjeta Crédito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TXN-20260728-006</t>
        </is>
      </c>
      <c r="B7" s="7" t="n">
        <v>46231.68537037037</v>
      </c>
      <c r="C7" s="8" t="inlineStr">
        <is>
          <t>SUC-003 E-Commerce</t>
        </is>
      </c>
      <c r="D7" s="8" t="inlineStr">
        <is>
          <t>E-Commerce</t>
        </is>
      </c>
      <c r="E7" s="6" t="inlineStr">
        <is>
          <t>CLI-2746</t>
        </is>
      </c>
      <c r="F7" s="8" t="inlineStr">
        <is>
          <t>Efectivo</t>
        </is>
      </c>
      <c r="G7" s="8" t="inlineStr">
        <is>
          <t>SISTEMA-WEB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TXN-20260728-007</t>
        </is>
      </c>
      <c r="B8" s="3" t="n">
        <v>46231.50822916667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CLI-9976</t>
        </is>
      </c>
      <c r="F8" s="4" t="inlineStr">
        <is>
          <t>Efectivo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TXN-20260728-008</t>
        </is>
      </c>
      <c r="B9" s="7" t="n">
        <v>46231.4916087963</v>
      </c>
      <c r="C9" s="8" t="inlineStr">
        <is>
          <t>SUC-002 Norte</t>
        </is>
      </c>
      <c r="D9" s="8" t="inlineStr">
        <is>
          <t>Venta Telefónica</t>
        </is>
      </c>
      <c r="E9" s="6" t="inlineStr">
        <is>
          <t>CLI-2269</t>
        </is>
      </c>
      <c r="F9" s="8" t="inlineStr">
        <is>
          <t>Transferencia</t>
        </is>
      </c>
      <c r="G9" s="8" t="inlineStr">
        <is>
          <t>VEN-103 (Carlos Ruiz)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TXN-20260728-009</t>
        </is>
      </c>
      <c r="B10" s="3" t="n">
        <v>46231.51204861111</v>
      </c>
      <c r="C10" s="4" t="inlineStr">
        <is>
          <t>SUC-002 Norte</t>
        </is>
      </c>
      <c r="D10" s="4" t="inlineStr">
        <is>
          <t>Tienda Física</t>
        </is>
      </c>
      <c r="E10" s="2" t="inlineStr">
        <is>
          <t>CLI-7678</t>
        </is>
      </c>
      <c r="F10" s="4" t="inlineStr">
        <is>
          <t>Transferencia</t>
        </is>
      </c>
      <c r="G10" s="4" t="inlineStr">
        <is>
          <t>VEN-102 (María Gómez)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TXN-20260728-010</t>
        </is>
      </c>
      <c r="B11" s="7" t="n">
        <v>46231.72877314815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CLI-5471</t>
        </is>
      </c>
      <c r="F11" s="8" t="inlineStr">
        <is>
          <t>Efectivo</t>
        </is>
      </c>
      <c r="G11" s="8" t="inlineStr">
        <is>
          <t>VEN-104 (Ana López)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TXN-20260728-011</t>
        </is>
      </c>
      <c r="B12" s="3" t="n">
        <v>46231.66763888889</v>
      </c>
      <c r="C12" s="4" t="inlineStr">
        <is>
          <t>SUC-002 Norte</t>
        </is>
      </c>
      <c r="D12" s="4" t="inlineStr">
        <is>
          <t>Venta Telefónica</t>
        </is>
      </c>
      <c r="E12" s="2" t="inlineStr">
        <is>
          <t>CLI-1823</t>
        </is>
      </c>
      <c r="F12" s="4" t="inlineStr">
        <is>
          <t>Transferencia</t>
        </is>
      </c>
      <c r="G12" s="4" t="inlineStr">
        <is>
          <t>VEN-102 (María Gómez)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TXN-20260728-012</t>
        </is>
      </c>
      <c r="B13" s="7" t="n">
        <v>46231.63903935185</v>
      </c>
      <c r="C13" s="8" t="inlineStr">
        <is>
          <t>SUC-002 Norte</t>
        </is>
      </c>
      <c r="D13" s="8" t="inlineStr">
        <is>
          <t>Venta Telefónica</t>
        </is>
      </c>
      <c r="E13" s="6" t="inlineStr">
        <is>
          <t>CLI-1508</t>
        </is>
      </c>
      <c r="F13" s="8" t="inlineStr">
        <is>
          <t>Tarjeta Débito</t>
        </is>
      </c>
      <c r="G13" s="8" t="inlineStr">
        <is>
          <t>VEN-103 (Carlos Ruiz)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TXN-20260728-013</t>
        </is>
      </c>
      <c r="B14" s="3" t="n">
        <v>46231.53681712963</v>
      </c>
      <c r="C14" s="4" t="inlineStr">
        <is>
          <t>SUC-003 E-Commerce</t>
        </is>
      </c>
      <c r="D14" s="4" t="inlineStr">
        <is>
          <t>E-Commerce</t>
        </is>
      </c>
      <c r="E14" s="2" t="inlineStr">
        <is>
          <t>CLI-8619</t>
        </is>
      </c>
      <c r="F14" s="4" t="inlineStr">
        <is>
          <t>Transferencia</t>
        </is>
      </c>
      <c r="G14" s="4" t="inlineStr">
        <is>
          <t>SISTEMA-WEB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TXN-20260728-014</t>
        </is>
      </c>
      <c r="B15" s="7" t="n">
        <v>46231.59071759259</v>
      </c>
      <c r="C15" s="8" t="inlineStr">
        <is>
          <t>SUC-003 E-Commerce</t>
        </is>
      </c>
      <c r="D15" s="8" t="inlineStr">
        <is>
          <t>E-Commerce</t>
        </is>
      </c>
      <c r="E15" s="6" t="inlineStr">
        <is>
          <t>CLI-1420</t>
        </is>
      </c>
      <c r="F15" s="8" t="inlineStr">
        <is>
          <t>Transferencia</t>
        </is>
      </c>
      <c r="G15" s="8" t="inlineStr">
        <is>
          <t>SISTEMA-WEB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TXN-20260728-015</t>
        </is>
      </c>
      <c r="B16" s="3" t="n">
        <v>46231.78053240741</v>
      </c>
      <c r="C16" s="4" t="inlineStr">
        <is>
          <t>SUC-002 Norte</t>
        </is>
      </c>
      <c r="D16" s="4" t="inlineStr">
        <is>
          <t>Venta Telefónica</t>
        </is>
      </c>
      <c r="E16" s="2" t="inlineStr">
        <is>
          <t>CLI-2983</t>
        </is>
      </c>
      <c r="F16" s="4" t="inlineStr">
        <is>
          <t>Tarjeta Crédito</t>
        </is>
      </c>
      <c r="G16" s="4" t="inlineStr">
        <is>
          <t>VEN-102 (María Gómez)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TXN-20260728-016</t>
        </is>
      </c>
      <c r="B17" s="7" t="n">
        <v>46231.60725694444</v>
      </c>
      <c r="C17" s="8" t="inlineStr">
        <is>
          <t>SUC-003 E-Commerce</t>
        </is>
      </c>
      <c r="D17" s="8" t="inlineStr">
        <is>
          <t>E-Commerce</t>
        </is>
      </c>
      <c r="E17" s="6" t="inlineStr">
        <is>
          <t>CLI-8532</t>
        </is>
      </c>
      <c r="F17" s="8" t="inlineStr">
        <is>
          <t>Tarjeta Débito</t>
        </is>
      </c>
      <c r="G17" s="8" t="inlineStr">
        <is>
          <t>SISTEMA-WEB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TXN-20260728-017</t>
        </is>
      </c>
      <c r="B18" s="3" t="n">
        <v>46231.63317129629</v>
      </c>
      <c r="C18" s="4" t="inlineStr">
        <is>
          <t>SUC-003 E-Commerce</t>
        </is>
      </c>
      <c r="D18" s="4" t="inlineStr">
        <is>
          <t>E-Commerce</t>
        </is>
      </c>
      <c r="E18" s="2" t="inlineStr">
        <is>
          <t>CLI-4995</t>
        </is>
      </c>
      <c r="F18" s="4" t="inlineStr">
        <is>
          <t>Efectivo</t>
        </is>
      </c>
      <c r="G18" s="4" t="inlineStr">
        <is>
          <t>SISTEMA-WEB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TXN-20260728-018</t>
        </is>
      </c>
      <c r="B19" s="7" t="n">
        <v>46231.77756944444</v>
      </c>
      <c r="C19" s="8" t="inlineStr">
        <is>
          <t>SUC-002 Norte</t>
        </is>
      </c>
      <c r="D19" s="8" t="inlineStr">
        <is>
          <t>Venta Telefónica</t>
        </is>
      </c>
      <c r="E19" s="6" t="inlineStr">
        <is>
          <t>CLI-2402</t>
        </is>
      </c>
      <c r="F19" s="8" t="inlineStr">
        <is>
          <t>Tarjeta Débito</t>
        </is>
      </c>
      <c r="G19" s="8" t="inlineStr">
        <is>
          <t>VEN-101 (Juan Pérez)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TXN-20260728-019</t>
        </is>
      </c>
      <c r="B20" s="3" t="n">
        <v>46231.85174768518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CLI-5820</t>
        </is>
      </c>
      <c r="F20" s="4" t="inlineStr">
        <is>
          <t>Tarjeta Débito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TXN-20260728-020</t>
        </is>
      </c>
      <c r="B21" s="7" t="n">
        <v>46231.65572916667</v>
      </c>
      <c r="C21" s="8" t="inlineStr">
        <is>
          <t>SUC-002 Norte</t>
        </is>
      </c>
      <c r="D21" s="8" t="inlineStr">
        <is>
          <t>Venta Telefónica</t>
        </is>
      </c>
      <c r="E21" s="6" t="inlineStr">
        <is>
          <t>CLI-4777</t>
        </is>
      </c>
      <c r="F21" s="8" t="inlineStr">
        <is>
          <t>Tarjeta Crédito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TXN-20260728-021</t>
        </is>
      </c>
      <c r="B22" s="3" t="n">
        <v>46231.84189814814</v>
      </c>
      <c r="C22" s="4" t="inlineStr">
        <is>
          <t>SUC-001 Centro</t>
        </is>
      </c>
      <c r="D22" s="4" t="inlineStr">
        <is>
          <t>Tienda Física</t>
        </is>
      </c>
      <c r="E22" s="2" t="inlineStr">
        <is>
          <t>CLI-4727</t>
        </is>
      </c>
      <c r="F22" s="4" t="inlineStr">
        <is>
          <t>Transferencia</t>
        </is>
      </c>
      <c r="G22" s="4" t="inlineStr">
        <is>
          <t>VEN-102 (María Gómez)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TXN-20260728-022</t>
        </is>
      </c>
      <c r="B23" s="7" t="n">
        <v>46231.47152777778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CLI-9042</t>
        </is>
      </c>
      <c r="F23" s="8" t="inlineStr">
        <is>
          <t>Tarjeta Crédito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TXN-20260728-023</t>
        </is>
      </c>
      <c r="B24" s="3" t="n">
        <v>46231.40020833333</v>
      </c>
      <c r="C24" s="4" t="inlineStr">
        <is>
          <t>SUC-002 Norte</t>
        </is>
      </c>
      <c r="D24" s="4" t="inlineStr">
        <is>
          <t>Venta Telefónica</t>
        </is>
      </c>
      <c r="E24" s="2" t="inlineStr">
        <is>
          <t>CLI-1878</t>
        </is>
      </c>
      <c r="F24" s="4" t="inlineStr">
        <is>
          <t>Tarjeta Débito</t>
        </is>
      </c>
      <c r="G24" s="4" t="inlineStr">
        <is>
          <t>VEN-104 (Ana López)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TXN-20260728-024</t>
        </is>
      </c>
      <c r="B25" s="7" t="n">
        <v>46231.49416666666</v>
      </c>
      <c r="C25" s="8" t="inlineStr">
        <is>
          <t>SUC-002 Norte</t>
        </is>
      </c>
      <c r="D25" s="8" t="inlineStr">
        <is>
          <t>Tienda Física</t>
        </is>
      </c>
      <c r="E25" s="6" t="inlineStr">
        <is>
          <t>CLI-9561</t>
        </is>
      </c>
      <c r="F25" s="8" t="inlineStr">
        <is>
          <t>Efectivo</t>
        </is>
      </c>
      <c r="G25" s="8" t="inlineStr">
        <is>
          <t>VEN-102 (María Gómez)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TXN-20260728-025</t>
        </is>
      </c>
      <c r="B26" s="3" t="n">
        <v>46231.70726851852</v>
      </c>
      <c r="C26" s="4" t="inlineStr">
        <is>
          <t>SUC-002 Norte</t>
        </is>
      </c>
      <c r="D26" s="4" t="inlineStr">
        <is>
          <t>Venta Telefónica</t>
        </is>
      </c>
      <c r="E26" s="2" t="inlineStr">
        <is>
          <t>CLI-5335</t>
        </is>
      </c>
      <c r="F26" s="4" t="inlineStr">
        <is>
          <t>Tarjeta Crédito</t>
        </is>
      </c>
      <c r="G26" s="4" t="inlineStr">
        <is>
          <t>VEN-103 (Carlos Ruiz)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TXN-20260728-026</t>
        </is>
      </c>
      <c r="B27" s="7" t="n">
        <v>46231.46887731482</v>
      </c>
      <c r="C27" s="8" t="inlineStr">
        <is>
          <t>SUC-003 E-Commerce</t>
        </is>
      </c>
      <c r="D27" s="8" t="inlineStr">
        <is>
          <t>E-Commerce</t>
        </is>
      </c>
      <c r="E27" s="6" t="inlineStr">
        <is>
          <t>CLI-8381</t>
        </is>
      </c>
      <c r="F27" s="8" t="inlineStr">
        <is>
          <t>Efectivo</t>
        </is>
      </c>
      <c r="G27" s="8" t="inlineStr">
        <is>
          <t>SISTEMA-WEB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TXN-20260728-027</t>
        </is>
      </c>
      <c r="B28" s="3" t="n">
        <v>46231.5432175926</v>
      </c>
      <c r="C28" s="4" t="inlineStr">
        <is>
          <t>SUC-002 Norte</t>
        </is>
      </c>
      <c r="D28" s="4" t="inlineStr">
        <is>
          <t>Venta Telefónica</t>
        </is>
      </c>
      <c r="E28" s="2" t="inlineStr">
        <is>
          <t>CLI-7965</t>
        </is>
      </c>
      <c r="F28" s="4" t="inlineStr">
        <is>
          <t>Tarjeta Crédito</t>
        </is>
      </c>
      <c r="G28" s="4" t="inlineStr">
        <is>
          <t>VEN-104 (Ana López)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TXN-20260728-028</t>
        </is>
      </c>
      <c r="B29" s="7" t="n">
        <v>46231.71853009259</v>
      </c>
      <c r="C29" s="8" t="inlineStr">
        <is>
          <t>SUC-001 Centro</t>
        </is>
      </c>
      <c r="D29" s="8" t="inlineStr">
        <is>
          <t>Venta Telefónica</t>
        </is>
      </c>
      <c r="E29" s="6" t="inlineStr">
        <is>
          <t>CLI-5728</t>
        </is>
      </c>
      <c r="F29" s="8" t="inlineStr">
        <is>
          <t>Efectivo</t>
        </is>
      </c>
      <c r="G29" s="8" t="inlineStr">
        <is>
          <t>VEN-102 (María Gómez)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TXN-20260728-029</t>
        </is>
      </c>
      <c r="B30" s="3" t="n">
        <v>46231.43731481482</v>
      </c>
      <c r="C30" s="4" t="inlineStr">
        <is>
          <t>SUC-002 Norte</t>
        </is>
      </c>
      <c r="D30" s="4" t="inlineStr">
        <is>
          <t>Venta Telefónica</t>
        </is>
      </c>
      <c r="E30" s="2" t="inlineStr">
        <is>
          <t>CLI-5415</t>
        </is>
      </c>
      <c r="F30" s="4" t="inlineStr">
        <is>
          <t>Tarjeta Crédito</t>
        </is>
      </c>
      <c r="G30" s="4" t="inlineStr">
        <is>
          <t>VEN-103 (Carlos Ruiz)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TXN-20260728-030</t>
        </is>
      </c>
      <c r="B31" s="7" t="n">
        <v>46231.47954861111</v>
      </c>
      <c r="C31" s="8" t="inlineStr">
        <is>
          <t>SUC-003 E-Commerce</t>
        </is>
      </c>
      <c r="D31" s="8" t="inlineStr">
        <is>
          <t>E-Commerce</t>
        </is>
      </c>
      <c r="E31" s="6" t="inlineStr">
        <is>
          <t>CLI-3634</t>
        </is>
      </c>
      <c r="F31" s="8" t="inlineStr">
        <is>
          <t>Transferencia</t>
        </is>
      </c>
      <c r="G31" s="8" t="inlineStr">
        <is>
          <t>SISTEMA-WEB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TXN-20260728-031</t>
        </is>
      </c>
      <c r="B32" s="3" t="n">
        <v>46231.65591435185</v>
      </c>
      <c r="C32" s="4" t="inlineStr">
        <is>
          <t>SUC-002 Norte</t>
        </is>
      </c>
      <c r="D32" s="4" t="inlineStr">
        <is>
          <t>Venta Telefónica</t>
        </is>
      </c>
      <c r="E32" s="2" t="inlineStr">
        <is>
          <t>CLI-9494</t>
        </is>
      </c>
      <c r="F32" s="4" t="inlineStr">
        <is>
          <t>Transferencia</t>
        </is>
      </c>
      <c r="G32" s="4" t="inlineStr">
        <is>
          <t>VEN-101 (Juan Pérez)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TXN-20260728-032</t>
        </is>
      </c>
      <c r="B33" s="7" t="n">
        <v>46231.78369212963</v>
      </c>
      <c r="C33" s="8" t="inlineStr">
        <is>
          <t>SUC-003 E-Commerce</t>
        </is>
      </c>
      <c r="D33" s="8" t="inlineStr">
        <is>
          <t>E-Commerce</t>
        </is>
      </c>
      <c r="E33" s="6" t="inlineStr">
        <is>
          <t>CLI-6091</t>
        </is>
      </c>
      <c r="F33" s="8" t="inlineStr">
        <is>
          <t>Tarjeta Crédito</t>
        </is>
      </c>
      <c r="G33" s="8" t="inlineStr">
        <is>
          <t>SISTEMA-WEB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TXN-20260728-033</t>
        </is>
      </c>
      <c r="B34" s="3" t="n">
        <v>46231.72644675926</v>
      </c>
      <c r="C34" s="4" t="inlineStr">
        <is>
          <t>SUC-001 Centro</t>
        </is>
      </c>
      <c r="D34" s="4" t="inlineStr">
        <is>
          <t>Tienda Física</t>
        </is>
      </c>
      <c r="E34" s="2" t="inlineStr">
        <is>
          <t>CLI-9337</t>
        </is>
      </c>
      <c r="F34" s="4" t="inlineStr">
        <is>
          <t>Transferencia</t>
        </is>
      </c>
      <c r="G34" s="4" t="inlineStr">
        <is>
          <t>VEN-104 (Ana López)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  <row r="35">
      <c r="A35" s="6" t="inlineStr">
        <is>
          <t>TXN-20260728-034</t>
        </is>
      </c>
      <c r="B35" s="7" t="n">
        <v>46231.66215277778</v>
      </c>
      <c r="C35" s="8" t="inlineStr">
        <is>
          <t>SUC-002 Norte</t>
        </is>
      </c>
      <c r="D35" s="8" t="inlineStr">
        <is>
          <t>Tienda Física</t>
        </is>
      </c>
      <c r="E35" s="6" t="inlineStr">
        <is>
          <t>CLI-6568</t>
        </is>
      </c>
      <c r="F35" s="8" t="inlineStr">
        <is>
          <t>Transferencia</t>
        </is>
      </c>
      <c r="G35" s="8" t="inlineStr">
        <is>
          <t>VEN-104 (Ana López)</t>
        </is>
      </c>
      <c r="H35" s="9">
        <f>SUMIF('Nivel Detalle de Item'!B:B, A35, 'Nivel Detalle de Item'!K:K)+SUMIF('Nivel Detalle de Item'!B:B, A35, 'Nivel Detalle de Item'!J:J)</f>
        <v/>
      </c>
      <c r="I35" s="9">
        <f>SUMIF('Nivel Detalle de Item'!B:B, A35, 'Nivel Detalle de Item'!J:J)</f>
        <v/>
      </c>
      <c r="J35" s="9">
        <f>(H35-I35)*0.21</f>
        <v/>
      </c>
      <c r="K35" s="9">
        <f>(H35-I35)+J35</f>
        <v/>
      </c>
      <c r="L35" s="9">
        <f>SUMIF('Nivel Detalle de Item'!B:B, A35, 'Nivel Detalle de Item'!L:L)</f>
        <v/>
      </c>
      <c r="M35" s="9">
        <f>(H35-I35)-L35</f>
        <v/>
      </c>
    </row>
    <row r="36">
      <c r="A36" s="2" t="inlineStr">
        <is>
          <t>TXN-20260728-035</t>
        </is>
      </c>
      <c r="B36" s="3" t="n">
        <v>46231.38803240741</v>
      </c>
      <c r="C36" s="4" t="inlineStr">
        <is>
          <t>SUC-002 Norte</t>
        </is>
      </c>
      <c r="D36" s="4" t="inlineStr">
        <is>
          <t>Venta Telefónica</t>
        </is>
      </c>
      <c r="E36" s="2" t="inlineStr">
        <is>
          <t>CLI-1715</t>
        </is>
      </c>
      <c r="F36" s="4" t="inlineStr">
        <is>
          <t>Transferencia</t>
        </is>
      </c>
      <c r="G36" s="4" t="inlineStr">
        <is>
          <t>VEN-102 (María Gómez)</t>
        </is>
      </c>
      <c r="H36" s="5">
        <f>SUMIF('Nivel Detalle de Item'!B:B, A36, 'Nivel Detalle de Item'!K:K)+SUMIF('Nivel Detalle de Item'!B:B, A36, 'Nivel Detalle de Item'!J:J)</f>
        <v/>
      </c>
      <c r="I36" s="5">
        <f>SUMIF('Nivel Detalle de Item'!B:B, A36, 'Nivel Detalle de Item'!J:J)</f>
        <v/>
      </c>
      <c r="J36" s="5">
        <f>(H36-I36)*0.21</f>
        <v/>
      </c>
      <c r="K36" s="5">
        <f>(H36-I36)+J36</f>
        <v/>
      </c>
      <c r="L36" s="5">
        <f>SUMIF('Nivel Detalle de Item'!B:B, A36, 'Nivel Detalle de Item'!L:L)</f>
        <v/>
      </c>
      <c r="M36" s="5">
        <f>(H36-I36)-L36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TXN-20260728-001</t>
        </is>
      </c>
      <c r="C2" s="2" t="n">
        <v>1</v>
      </c>
      <c r="D2" s="2" t="inlineStr">
        <is>
          <t>PROD-102</t>
        </is>
      </c>
      <c r="E2" s="4" t="inlineStr">
        <is>
          <t>Monitor 27 UHD</t>
        </is>
      </c>
      <c r="F2" s="2" t="inlineStr">
        <is>
          <t>Tecnología</t>
        </is>
      </c>
      <c r="G2" s="10" t="n">
        <v>3</v>
      </c>
      <c r="H2" s="5" t="n">
        <v>280000</v>
      </c>
      <c r="I2" s="5" t="n">
        <v>190000</v>
      </c>
      <c r="J2" s="5" t="n">
        <v>84000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TXN-20260728-002</t>
        </is>
      </c>
      <c r="C3" s="6" t="n">
        <v>1</v>
      </c>
      <c r="D3" s="6" t="inlineStr">
        <is>
          <t>PROD-101</t>
        </is>
      </c>
      <c r="E3" s="8" t="inlineStr">
        <is>
          <t>Notebook Pro 15</t>
        </is>
      </c>
      <c r="F3" s="6" t="inlineStr">
        <is>
          <t>Tecnología</t>
        </is>
      </c>
      <c r="G3" s="11" t="n">
        <v>3</v>
      </c>
      <c r="H3" s="9" t="n">
        <v>850000</v>
      </c>
      <c r="I3" s="9" t="n">
        <v>620000</v>
      </c>
      <c r="J3" s="9" t="n">
        <v>255000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TXN-20260728-002</t>
        </is>
      </c>
      <c r="C4" s="2" t="n">
        <v>2</v>
      </c>
      <c r="D4" s="2" t="inlineStr">
        <is>
          <t>PROD-101</t>
        </is>
      </c>
      <c r="E4" s="4" t="inlineStr">
        <is>
          <t>Notebook Pro 15</t>
        </is>
      </c>
      <c r="F4" s="2" t="inlineStr">
        <is>
          <t>Tecnología</t>
        </is>
      </c>
      <c r="G4" s="10" t="n">
        <v>3</v>
      </c>
      <c r="H4" s="5" t="n">
        <v>850000</v>
      </c>
      <c r="I4" s="5" t="n">
        <v>620000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TXN-20260728-002</t>
        </is>
      </c>
      <c r="C5" s="6" t="n">
        <v>3</v>
      </c>
      <c r="D5" s="6" t="inlineStr">
        <is>
          <t>PROD-106</t>
        </is>
      </c>
      <c r="E5" s="8" t="inlineStr">
        <is>
          <t>Silla Ergonómica Oficina</t>
        </is>
      </c>
      <c r="F5" s="6" t="inlineStr">
        <is>
          <t>Muebles</t>
        </is>
      </c>
      <c r="G5" s="11" t="n">
        <v>2</v>
      </c>
      <c r="H5" s="9" t="n">
        <v>185000</v>
      </c>
      <c r="I5" s="9" t="n">
        <v>115000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TXN-20260728-003</t>
        </is>
      </c>
      <c r="C6" s="2" t="n">
        <v>1</v>
      </c>
      <c r="D6" s="2" t="inlineStr">
        <is>
          <t>PROD-105</t>
        </is>
      </c>
      <c r="E6" s="4" t="inlineStr">
        <is>
          <t>Auriculares Bluetooth</t>
        </is>
      </c>
      <c r="F6" s="2" t="inlineStr">
        <is>
          <t>Audio</t>
        </is>
      </c>
      <c r="G6" s="10" t="n">
        <v>3</v>
      </c>
      <c r="H6" s="5" t="n">
        <v>65000</v>
      </c>
      <c r="I6" s="5" t="n">
        <v>35000</v>
      </c>
      <c r="J6" s="5" t="n">
        <v>19500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TXN-20260728-003</t>
        </is>
      </c>
      <c r="C7" s="6" t="n">
        <v>2</v>
      </c>
      <c r="D7" s="6" t="inlineStr">
        <is>
          <t>PROD-106</t>
        </is>
      </c>
      <c r="E7" s="8" t="inlineStr">
        <is>
          <t>Silla Ergonómica Oficina</t>
        </is>
      </c>
      <c r="F7" s="6" t="inlineStr">
        <is>
          <t>Muebles</t>
        </is>
      </c>
      <c r="G7" s="11" t="n">
        <v>2</v>
      </c>
      <c r="H7" s="9" t="n">
        <v>185000</v>
      </c>
      <c r="I7" s="9" t="n">
        <v>115000</v>
      </c>
      <c r="J7" s="9" t="n">
        <v>18500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TXN-20260728-003</t>
        </is>
      </c>
      <c r="C8" s="2" t="n">
        <v>3</v>
      </c>
      <c r="D8" s="2" t="inlineStr">
        <is>
          <t>PROD-103</t>
        </is>
      </c>
      <c r="E8" s="4" t="inlineStr">
        <is>
          <t>Teclado Mecánico RGB</t>
        </is>
      </c>
      <c r="F8" s="2" t="inlineStr">
        <is>
          <t>Accesorios</t>
        </is>
      </c>
      <c r="G8" s="10" t="n">
        <v>1</v>
      </c>
      <c r="H8" s="5" t="n">
        <v>45000</v>
      </c>
      <c r="I8" s="5" t="n">
        <v>22000</v>
      </c>
      <c r="J8" s="5" t="n">
        <v>4500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TXN-20260728-004</t>
        </is>
      </c>
      <c r="C9" s="6" t="n">
        <v>1</v>
      </c>
      <c r="D9" s="6" t="inlineStr">
        <is>
          <t>PROD-104</t>
        </is>
      </c>
      <c r="E9" s="8" t="inlineStr">
        <is>
          <t>Mouse Inalámbrico</t>
        </is>
      </c>
      <c r="F9" s="6" t="inlineStr">
        <is>
          <t>Accesorios</t>
        </is>
      </c>
      <c r="G9" s="11" t="n">
        <v>2</v>
      </c>
      <c r="H9" s="9" t="n">
        <v>25000</v>
      </c>
      <c r="I9" s="9" t="n">
        <v>11000</v>
      </c>
      <c r="J9" s="9" t="n">
        <v>2500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TXN-20260728-004</t>
        </is>
      </c>
      <c r="C10" s="2" t="n">
        <v>2</v>
      </c>
      <c r="D10" s="2" t="inlineStr">
        <is>
          <t>PROD-108</t>
        </is>
      </c>
      <c r="E10" s="4" t="inlineStr">
        <is>
          <t>Webcam 4K Ultra</t>
        </is>
      </c>
      <c r="F10" s="2" t="inlineStr">
        <is>
          <t>Tecnología</t>
        </is>
      </c>
      <c r="G10" s="10" t="n">
        <v>2</v>
      </c>
      <c r="H10" s="5" t="n">
        <v>75000</v>
      </c>
      <c r="I10" s="5" t="n">
        <v>42000</v>
      </c>
      <c r="J10" s="5" t="n">
        <v>15000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TXN-20260728-004</t>
        </is>
      </c>
      <c r="C11" s="6" t="n">
        <v>3</v>
      </c>
      <c r="D11" s="6" t="inlineStr">
        <is>
          <t>PROD-104</t>
        </is>
      </c>
      <c r="E11" s="8" t="inlineStr">
        <is>
          <t>Mouse Inalámbrico</t>
        </is>
      </c>
      <c r="F11" s="6" t="inlineStr">
        <is>
          <t>Accesorios</t>
        </is>
      </c>
      <c r="G11" s="11" t="n">
        <v>3</v>
      </c>
      <c r="H11" s="9" t="n">
        <v>25000</v>
      </c>
      <c r="I11" s="9" t="n">
        <v>11000</v>
      </c>
      <c r="J11" s="9" t="n">
        <v>7500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TXN-20260728-005</t>
        </is>
      </c>
      <c r="C12" s="2" t="n">
        <v>1</v>
      </c>
      <c r="D12" s="2" t="inlineStr">
        <is>
          <t>PROD-102</t>
        </is>
      </c>
      <c r="E12" s="4" t="inlineStr">
        <is>
          <t>Monitor 27 UHD</t>
        </is>
      </c>
      <c r="F12" s="2" t="inlineStr">
        <is>
          <t>Tecnología</t>
        </is>
      </c>
      <c r="G12" s="10" t="n">
        <v>1</v>
      </c>
      <c r="H12" s="5" t="n">
        <v>280000</v>
      </c>
      <c r="I12" s="5" t="n">
        <v>190000</v>
      </c>
      <c r="J12" s="5" t="n">
        <v>14000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TXN-20260728-005</t>
        </is>
      </c>
      <c r="C13" s="6" t="n">
        <v>2</v>
      </c>
      <c r="D13" s="6" t="inlineStr">
        <is>
          <t>PROD-104</t>
        </is>
      </c>
      <c r="E13" s="8" t="inlineStr">
        <is>
          <t>Mouse Inalámbrico</t>
        </is>
      </c>
      <c r="F13" s="6" t="inlineStr">
        <is>
          <t>Accesorios</t>
        </is>
      </c>
      <c r="G13" s="11" t="n">
        <v>1</v>
      </c>
      <c r="H13" s="9" t="n">
        <v>25000</v>
      </c>
      <c r="I13" s="9" t="n">
        <v>11000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TXN-20260728-005</t>
        </is>
      </c>
      <c r="C14" s="2" t="n">
        <v>3</v>
      </c>
      <c r="D14" s="2" t="inlineStr">
        <is>
          <t>PROD-101</t>
        </is>
      </c>
      <c r="E14" s="4" t="inlineStr">
        <is>
          <t>Notebook Pro 15</t>
        </is>
      </c>
      <c r="F14" s="2" t="inlineStr">
        <is>
          <t>Tecnología</t>
        </is>
      </c>
      <c r="G14" s="10" t="n">
        <v>1</v>
      </c>
      <c r="H14" s="5" t="n">
        <v>850000</v>
      </c>
      <c r="I14" s="5" t="n">
        <v>620000</v>
      </c>
      <c r="J14" s="5" t="n">
        <v>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TXN-20260728-006</t>
        </is>
      </c>
      <c r="C15" s="6" t="n">
        <v>1</v>
      </c>
      <c r="D15" s="6" t="inlineStr">
        <is>
          <t>PROD-107</t>
        </is>
      </c>
      <c r="E15" s="8" t="inlineStr">
        <is>
          <t>Escritorio Ajustable</t>
        </is>
      </c>
      <c r="F15" s="6" t="inlineStr">
        <is>
          <t>Muebles</t>
        </is>
      </c>
      <c r="G15" s="11" t="n">
        <v>2</v>
      </c>
      <c r="H15" s="9" t="n">
        <v>240000</v>
      </c>
      <c r="I15" s="9" t="n">
        <v>150000</v>
      </c>
      <c r="J15" s="9" t="n">
        <v>48000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TXN-20260728-006</t>
        </is>
      </c>
      <c r="C16" s="2" t="n">
        <v>2</v>
      </c>
      <c r="D16" s="2" t="inlineStr">
        <is>
          <t>PROD-104</t>
        </is>
      </c>
      <c r="E16" s="4" t="inlineStr">
        <is>
          <t>Mouse Inalámbrico</t>
        </is>
      </c>
      <c r="F16" s="2" t="inlineStr">
        <is>
          <t>Accesorios</t>
        </is>
      </c>
      <c r="G16" s="10" t="n">
        <v>1</v>
      </c>
      <c r="H16" s="5" t="n">
        <v>25000</v>
      </c>
      <c r="I16" s="5" t="n">
        <v>11000</v>
      </c>
      <c r="J16" s="5" t="n">
        <v>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TXN-20260728-007</t>
        </is>
      </c>
      <c r="C17" s="6" t="n">
        <v>1</v>
      </c>
      <c r="D17" s="6" t="inlineStr">
        <is>
          <t>PROD-101</t>
        </is>
      </c>
      <c r="E17" s="8" t="inlineStr">
        <is>
          <t>Notebook Pro 15</t>
        </is>
      </c>
      <c r="F17" s="6" t="inlineStr">
        <is>
          <t>Tecnología</t>
        </is>
      </c>
      <c r="G17" s="11" t="n">
        <v>3</v>
      </c>
      <c r="H17" s="9" t="n">
        <v>850000</v>
      </c>
      <c r="I17" s="9" t="n">
        <v>620000</v>
      </c>
      <c r="J17" s="9" t="n">
        <v>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TXN-20260728-007</t>
        </is>
      </c>
      <c r="C18" s="2" t="n">
        <v>2</v>
      </c>
      <c r="D18" s="2" t="inlineStr">
        <is>
          <t>PROD-102</t>
        </is>
      </c>
      <c r="E18" s="4" t="inlineStr">
        <is>
          <t>Monitor 27 UHD</t>
        </is>
      </c>
      <c r="F18" s="2" t="inlineStr">
        <is>
          <t>Tecnología</t>
        </is>
      </c>
      <c r="G18" s="10" t="n">
        <v>2</v>
      </c>
      <c r="H18" s="5" t="n">
        <v>280000</v>
      </c>
      <c r="I18" s="5" t="n">
        <v>190000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TXN-20260728-007</t>
        </is>
      </c>
      <c r="C19" s="6" t="n">
        <v>3</v>
      </c>
      <c r="D19" s="6" t="inlineStr">
        <is>
          <t>PROD-108</t>
        </is>
      </c>
      <c r="E19" s="8" t="inlineStr">
        <is>
          <t>Webcam 4K Ultra</t>
        </is>
      </c>
      <c r="F19" s="6" t="inlineStr">
        <is>
          <t>Tecnología</t>
        </is>
      </c>
      <c r="G19" s="11" t="n">
        <v>3</v>
      </c>
      <c r="H19" s="9" t="n">
        <v>75000</v>
      </c>
      <c r="I19" s="9" t="n">
        <v>42000</v>
      </c>
      <c r="J19" s="9" t="n">
        <v>11250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TXN-20260728-007</t>
        </is>
      </c>
      <c r="C20" s="2" t="n">
        <v>4</v>
      </c>
      <c r="D20" s="2" t="inlineStr">
        <is>
          <t>PROD-108</t>
        </is>
      </c>
      <c r="E20" s="4" t="inlineStr">
        <is>
          <t>Webcam 4K Ultra</t>
        </is>
      </c>
      <c r="F20" s="2" t="inlineStr">
        <is>
          <t>Tecnología</t>
        </is>
      </c>
      <c r="G20" s="10" t="n">
        <v>3</v>
      </c>
      <c r="H20" s="5" t="n">
        <v>75000</v>
      </c>
      <c r="I20" s="5" t="n">
        <v>42000</v>
      </c>
      <c r="J20" s="5" t="n">
        <v>22500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TXN-20260728-008</t>
        </is>
      </c>
      <c r="C21" s="6" t="n">
        <v>1</v>
      </c>
      <c r="D21" s="6" t="inlineStr">
        <is>
          <t>PROD-105</t>
        </is>
      </c>
      <c r="E21" s="8" t="inlineStr">
        <is>
          <t>Auriculares Bluetooth</t>
        </is>
      </c>
      <c r="F21" s="6" t="inlineStr">
        <is>
          <t>Audio</t>
        </is>
      </c>
      <c r="G21" s="11" t="n">
        <v>3</v>
      </c>
      <c r="H21" s="9" t="n">
        <v>65000</v>
      </c>
      <c r="I21" s="9" t="n">
        <v>35000</v>
      </c>
      <c r="J21" s="9" t="n">
        <v>19500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TXN-20260728-008</t>
        </is>
      </c>
      <c r="C22" s="2" t="n">
        <v>2</v>
      </c>
      <c r="D22" s="2" t="inlineStr">
        <is>
          <t>PROD-104</t>
        </is>
      </c>
      <c r="E22" s="4" t="inlineStr">
        <is>
          <t>Mouse Inalámbrico</t>
        </is>
      </c>
      <c r="F22" s="2" t="inlineStr">
        <is>
          <t>Accesorios</t>
        </is>
      </c>
      <c r="G22" s="10" t="n">
        <v>2</v>
      </c>
      <c r="H22" s="5" t="n">
        <v>25000</v>
      </c>
      <c r="I22" s="5" t="n">
        <v>11000</v>
      </c>
      <c r="J22" s="5" t="n">
        <v>5000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TXN-20260728-009</t>
        </is>
      </c>
      <c r="C23" s="6" t="n">
        <v>1</v>
      </c>
      <c r="D23" s="6" t="inlineStr">
        <is>
          <t>PROD-104</t>
        </is>
      </c>
      <c r="E23" s="8" t="inlineStr">
        <is>
          <t>Mouse Inalámbrico</t>
        </is>
      </c>
      <c r="F23" s="6" t="inlineStr">
        <is>
          <t>Accesorios</t>
        </is>
      </c>
      <c r="G23" s="11" t="n">
        <v>2</v>
      </c>
      <c r="H23" s="9" t="n">
        <v>25000</v>
      </c>
      <c r="I23" s="9" t="n">
        <v>11000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TXN-20260728-009</t>
        </is>
      </c>
      <c r="C24" s="2" t="n">
        <v>2</v>
      </c>
      <c r="D24" s="2" t="inlineStr">
        <is>
          <t>PROD-104</t>
        </is>
      </c>
      <c r="E24" s="4" t="inlineStr">
        <is>
          <t>Mouse Inalámbrico</t>
        </is>
      </c>
      <c r="F24" s="2" t="inlineStr">
        <is>
          <t>Accesorios</t>
        </is>
      </c>
      <c r="G24" s="10" t="n">
        <v>1</v>
      </c>
      <c r="H24" s="5" t="n">
        <v>25000</v>
      </c>
      <c r="I24" s="5" t="n">
        <v>11000</v>
      </c>
      <c r="J24" s="5" t="n">
        <v>2500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TXN-20260728-010</t>
        </is>
      </c>
      <c r="C25" s="6" t="n">
        <v>1</v>
      </c>
      <c r="D25" s="6" t="inlineStr">
        <is>
          <t>PROD-101</t>
        </is>
      </c>
      <c r="E25" s="8" t="inlineStr">
        <is>
          <t>Notebook Pro 15</t>
        </is>
      </c>
      <c r="F25" s="6" t="inlineStr">
        <is>
          <t>Tecnología</t>
        </is>
      </c>
      <c r="G25" s="11" t="n">
        <v>3</v>
      </c>
      <c r="H25" s="9" t="n">
        <v>850000</v>
      </c>
      <c r="I25" s="9" t="n">
        <v>620000</v>
      </c>
      <c r="J25" s="9" t="n">
        <v>255000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TXN-20260728-010</t>
        </is>
      </c>
      <c r="C26" s="2" t="n">
        <v>2</v>
      </c>
      <c r="D26" s="2" t="inlineStr">
        <is>
          <t>PROD-108</t>
        </is>
      </c>
      <c r="E26" s="4" t="inlineStr">
        <is>
          <t>Webcam 4K Ultra</t>
        </is>
      </c>
      <c r="F26" s="2" t="inlineStr">
        <is>
          <t>Tecnología</t>
        </is>
      </c>
      <c r="G26" s="10" t="n">
        <v>1</v>
      </c>
      <c r="H26" s="5" t="n">
        <v>75000</v>
      </c>
      <c r="I26" s="5" t="n">
        <v>42000</v>
      </c>
      <c r="J26" s="5" t="n">
        <v>3750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TXN-20260728-010</t>
        </is>
      </c>
      <c r="C27" s="6" t="n">
        <v>3</v>
      </c>
      <c r="D27" s="6" t="inlineStr">
        <is>
          <t>PROD-105</t>
        </is>
      </c>
      <c r="E27" s="8" t="inlineStr">
        <is>
          <t>Auriculares Bluetooth</t>
        </is>
      </c>
      <c r="F27" s="6" t="inlineStr">
        <is>
          <t>Audio</t>
        </is>
      </c>
      <c r="G27" s="11" t="n">
        <v>2</v>
      </c>
      <c r="H27" s="9" t="n">
        <v>65000</v>
      </c>
      <c r="I27" s="9" t="n">
        <v>35000</v>
      </c>
      <c r="J27" s="9" t="n">
        <v>13000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TXN-20260728-010</t>
        </is>
      </c>
      <c r="C28" s="2" t="n">
        <v>4</v>
      </c>
      <c r="D28" s="2" t="inlineStr">
        <is>
          <t>PROD-104</t>
        </is>
      </c>
      <c r="E28" s="4" t="inlineStr">
        <is>
          <t>Mouse Inalámbrico</t>
        </is>
      </c>
      <c r="F28" s="2" t="inlineStr">
        <is>
          <t>Accesorios</t>
        </is>
      </c>
      <c r="G28" s="10" t="n">
        <v>2</v>
      </c>
      <c r="H28" s="5" t="n">
        <v>25000</v>
      </c>
      <c r="I28" s="5" t="n">
        <v>11000</v>
      </c>
      <c r="J28" s="5" t="n">
        <v>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TXN-20260728-011</t>
        </is>
      </c>
      <c r="C29" s="6" t="n">
        <v>1</v>
      </c>
      <c r="D29" s="6" t="inlineStr">
        <is>
          <t>PROD-103</t>
        </is>
      </c>
      <c r="E29" s="8" t="inlineStr">
        <is>
          <t>Teclado Mecánico RGB</t>
        </is>
      </c>
      <c r="F29" s="6" t="inlineStr">
        <is>
          <t>Accesorios</t>
        </is>
      </c>
      <c r="G29" s="11" t="n">
        <v>3</v>
      </c>
      <c r="H29" s="9" t="n">
        <v>45000</v>
      </c>
      <c r="I29" s="9" t="n">
        <v>22000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TXN-20260728-011</t>
        </is>
      </c>
      <c r="C30" s="2" t="n">
        <v>2</v>
      </c>
      <c r="D30" s="2" t="inlineStr">
        <is>
          <t>PROD-107</t>
        </is>
      </c>
      <c r="E30" s="4" t="inlineStr">
        <is>
          <t>Escritorio Ajustable</t>
        </is>
      </c>
      <c r="F30" s="2" t="inlineStr">
        <is>
          <t>Muebles</t>
        </is>
      </c>
      <c r="G30" s="10" t="n">
        <v>3</v>
      </c>
      <c r="H30" s="5" t="n">
        <v>240000</v>
      </c>
      <c r="I30" s="5" t="n">
        <v>150000</v>
      </c>
      <c r="J30" s="5" t="n">
        <v>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TXN-20260728-011</t>
        </is>
      </c>
      <c r="C31" s="6" t="n">
        <v>3</v>
      </c>
      <c r="D31" s="6" t="inlineStr">
        <is>
          <t>PROD-102</t>
        </is>
      </c>
      <c r="E31" s="8" t="inlineStr">
        <is>
          <t>Monitor 27 UHD</t>
        </is>
      </c>
      <c r="F31" s="6" t="inlineStr">
        <is>
          <t>Tecnología</t>
        </is>
      </c>
      <c r="G31" s="11" t="n">
        <v>3</v>
      </c>
      <c r="H31" s="9" t="n">
        <v>280000</v>
      </c>
      <c r="I31" s="9" t="n">
        <v>190000</v>
      </c>
      <c r="J31" s="9" t="n">
        <v>84000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TXN-20260728-011</t>
        </is>
      </c>
      <c r="C32" s="2" t="n">
        <v>4</v>
      </c>
      <c r="D32" s="2" t="inlineStr">
        <is>
          <t>PROD-103</t>
        </is>
      </c>
      <c r="E32" s="4" t="inlineStr">
        <is>
          <t>Teclado Mecánico RGB</t>
        </is>
      </c>
      <c r="F32" s="2" t="inlineStr">
        <is>
          <t>Accesorios</t>
        </is>
      </c>
      <c r="G32" s="10" t="n">
        <v>2</v>
      </c>
      <c r="H32" s="5" t="n">
        <v>45000</v>
      </c>
      <c r="I32" s="5" t="n">
        <v>22000</v>
      </c>
      <c r="J32" s="5" t="n">
        <v>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TXN-20260728-012</t>
        </is>
      </c>
      <c r="C33" s="6" t="n">
        <v>1</v>
      </c>
      <c r="D33" s="6" t="inlineStr">
        <is>
          <t>PROD-105</t>
        </is>
      </c>
      <c r="E33" s="8" t="inlineStr">
        <is>
          <t>Auriculares Bluetooth</t>
        </is>
      </c>
      <c r="F33" s="6" t="inlineStr">
        <is>
          <t>Audio</t>
        </is>
      </c>
      <c r="G33" s="11" t="n">
        <v>2</v>
      </c>
      <c r="H33" s="9" t="n">
        <v>65000</v>
      </c>
      <c r="I33" s="9" t="n">
        <v>35000</v>
      </c>
      <c r="J33" s="9" t="n">
        <v>6500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TXN-20260728-012</t>
        </is>
      </c>
      <c r="C34" s="2" t="n">
        <v>2</v>
      </c>
      <c r="D34" s="2" t="inlineStr">
        <is>
          <t>PROD-102</t>
        </is>
      </c>
      <c r="E34" s="4" t="inlineStr">
        <is>
          <t>Monitor 27 UHD</t>
        </is>
      </c>
      <c r="F34" s="2" t="inlineStr">
        <is>
          <t>Tecnología</t>
        </is>
      </c>
      <c r="G34" s="10" t="n">
        <v>2</v>
      </c>
      <c r="H34" s="5" t="n">
        <v>280000</v>
      </c>
      <c r="I34" s="5" t="n">
        <v>190000</v>
      </c>
      <c r="J34" s="5" t="n">
        <v>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TXN-20260728-012</t>
        </is>
      </c>
      <c r="C35" s="6" t="n">
        <v>3</v>
      </c>
      <c r="D35" s="6" t="inlineStr">
        <is>
          <t>PROD-101</t>
        </is>
      </c>
      <c r="E35" s="8" t="inlineStr">
        <is>
          <t>Notebook Pro 15</t>
        </is>
      </c>
      <c r="F35" s="6" t="inlineStr">
        <is>
          <t>Tecnología</t>
        </is>
      </c>
      <c r="G35" s="11" t="n">
        <v>2</v>
      </c>
      <c r="H35" s="9" t="n">
        <v>850000</v>
      </c>
      <c r="I35" s="9" t="n">
        <v>620000</v>
      </c>
      <c r="J35" s="9" t="n">
        <v>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TXN-20260728-012</t>
        </is>
      </c>
      <c r="C36" s="2" t="n">
        <v>4</v>
      </c>
      <c r="D36" s="2" t="inlineStr">
        <is>
          <t>PROD-102</t>
        </is>
      </c>
      <c r="E36" s="4" t="inlineStr">
        <is>
          <t>Monitor 27 UHD</t>
        </is>
      </c>
      <c r="F36" s="2" t="inlineStr">
        <is>
          <t>Tecnología</t>
        </is>
      </c>
      <c r="G36" s="10" t="n">
        <v>3</v>
      </c>
      <c r="H36" s="5" t="n">
        <v>280000</v>
      </c>
      <c r="I36" s="5" t="n">
        <v>190000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TXN-20260728-013</t>
        </is>
      </c>
      <c r="C37" s="6" t="n">
        <v>1</v>
      </c>
      <c r="D37" s="6" t="inlineStr">
        <is>
          <t>PROD-104</t>
        </is>
      </c>
      <c r="E37" s="8" t="inlineStr">
        <is>
          <t>Mouse Inalámbrico</t>
        </is>
      </c>
      <c r="F37" s="6" t="inlineStr">
        <is>
          <t>Accesorios</t>
        </is>
      </c>
      <c r="G37" s="11" t="n">
        <v>1</v>
      </c>
      <c r="H37" s="9" t="n">
        <v>25000</v>
      </c>
      <c r="I37" s="9" t="n">
        <v>11000</v>
      </c>
      <c r="J37" s="9" t="n">
        <v>2500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TXN-20260728-013</t>
        </is>
      </c>
      <c r="C38" s="2" t="n">
        <v>2</v>
      </c>
      <c r="D38" s="2" t="inlineStr">
        <is>
          <t>PROD-102</t>
        </is>
      </c>
      <c r="E38" s="4" t="inlineStr">
        <is>
          <t>Monitor 27 UHD</t>
        </is>
      </c>
      <c r="F38" s="2" t="inlineStr">
        <is>
          <t>Tecnología</t>
        </is>
      </c>
      <c r="G38" s="10" t="n">
        <v>3</v>
      </c>
      <c r="H38" s="5" t="n">
        <v>280000</v>
      </c>
      <c r="I38" s="5" t="n">
        <v>190000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TXN-20260728-014</t>
        </is>
      </c>
      <c r="C39" s="6" t="n">
        <v>1</v>
      </c>
      <c r="D39" s="6" t="inlineStr">
        <is>
          <t>PROD-103</t>
        </is>
      </c>
      <c r="E39" s="8" t="inlineStr">
        <is>
          <t>Teclado Mecánico RGB</t>
        </is>
      </c>
      <c r="F39" s="6" t="inlineStr">
        <is>
          <t>Accesorios</t>
        </is>
      </c>
      <c r="G39" s="11" t="n">
        <v>2</v>
      </c>
      <c r="H39" s="9" t="n">
        <v>45000</v>
      </c>
      <c r="I39" s="9" t="n">
        <v>22000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TXN-20260728-015</t>
        </is>
      </c>
      <c r="C40" s="2" t="n">
        <v>1</v>
      </c>
      <c r="D40" s="2" t="inlineStr">
        <is>
          <t>PROD-104</t>
        </is>
      </c>
      <c r="E40" s="4" t="inlineStr">
        <is>
          <t>Mouse Inalámbrico</t>
        </is>
      </c>
      <c r="F40" s="2" t="inlineStr">
        <is>
          <t>Accesorios</t>
        </is>
      </c>
      <c r="G40" s="10" t="n">
        <v>1</v>
      </c>
      <c r="H40" s="5" t="n">
        <v>25000</v>
      </c>
      <c r="I40" s="5" t="n">
        <v>11000</v>
      </c>
      <c r="J40" s="5" t="n">
        <v>1250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TXN-20260728-016</t>
        </is>
      </c>
      <c r="C41" s="6" t="n">
        <v>1</v>
      </c>
      <c r="D41" s="6" t="inlineStr">
        <is>
          <t>PROD-102</t>
        </is>
      </c>
      <c r="E41" s="8" t="inlineStr">
        <is>
          <t>Monitor 27 UHD</t>
        </is>
      </c>
      <c r="F41" s="6" t="inlineStr">
        <is>
          <t>Tecnología</t>
        </is>
      </c>
      <c r="G41" s="11" t="n">
        <v>3</v>
      </c>
      <c r="H41" s="9" t="n">
        <v>280000</v>
      </c>
      <c r="I41" s="9" t="n">
        <v>190000</v>
      </c>
      <c r="J41" s="9" t="n">
        <v>42000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TXN-20260728-016</t>
        </is>
      </c>
      <c r="C42" s="2" t="n">
        <v>2</v>
      </c>
      <c r="D42" s="2" t="inlineStr">
        <is>
          <t>PROD-101</t>
        </is>
      </c>
      <c r="E42" s="4" t="inlineStr">
        <is>
          <t>Notebook Pro 15</t>
        </is>
      </c>
      <c r="F42" s="2" t="inlineStr">
        <is>
          <t>Tecnología</t>
        </is>
      </c>
      <c r="G42" s="10" t="n">
        <v>2</v>
      </c>
      <c r="H42" s="5" t="n">
        <v>850000</v>
      </c>
      <c r="I42" s="5" t="n">
        <v>620000</v>
      </c>
      <c r="J42" s="5" t="n">
        <v>170000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TXN-20260728-016</t>
        </is>
      </c>
      <c r="C43" s="6" t="n">
        <v>3</v>
      </c>
      <c r="D43" s="6" t="inlineStr">
        <is>
          <t>PROD-102</t>
        </is>
      </c>
      <c r="E43" s="8" t="inlineStr">
        <is>
          <t>Monitor 27 UHD</t>
        </is>
      </c>
      <c r="F43" s="6" t="inlineStr">
        <is>
          <t>Tecnología</t>
        </is>
      </c>
      <c r="G43" s="11" t="n">
        <v>2</v>
      </c>
      <c r="H43" s="9" t="n">
        <v>280000</v>
      </c>
      <c r="I43" s="9" t="n">
        <v>190000</v>
      </c>
      <c r="J43" s="9" t="n">
        <v>28000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TXN-20260728-017</t>
        </is>
      </c>
      <c r="C44" s="2" t="n">
        <v>1</v>
      </c>
      <c r="D44" s="2" t="inlineStr">
        <is>
          <t>PROD-108</t>
        </is>
      </c>
      <c r="E44" s="4" t="inlineStr">
        <is>
          <t>Webcam 4K Ultra</t>
        </is>
      </c>
      <c r="F44" s="2" t="inlineStr">
        <is>
          <t>Tecnología</t>
        </is>
      </c>
      <c r="G44" s="10" t="n">
        <v>2</v>
      </c>
      <c r="H44" s="5" t="n">
        <v>75000</v>
      </c>
      <c r="I44" s="5" t="n">
        <v>42000</v>
      </c>
      <c r="J44" s="5" t="n">
        <v>15000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TXN-20260728-017</t>
        </is>
      </c>
      <c r="C45" s="6" t="n">
        <v>2</v>
      </c>
      <c r="D45" s="6" t="inlineStr">
        <is>
          <t>PROD-105</t>
        </is>
      </c>
      <c r="E45" s="8" t="inlineStr">
        <is>
          <t>Auriculares Bluetooth</t>
        </is>
      </c>
      <c r="F45" s="6" t="inlineStr">
        <is>
          <t>Audio</t>
        </is>
      </c>
      <c r="G45" s="11" t="n">
        <v>2</v>
      </c>
      <c r="H45" s="9" t="n">
        <v>65000</v>
      </c>
      <c r="I45" s="9" t="n">
        <v>35000</v>
      </c>
      <c r="J45" s="9" t="n">
        <v>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TXN-20260728-017</t>
        </is>
      </c>
      <c r="C46" s="2" t="n">
        <v>3</v>
      </c>
      <c r="D46" s="2" t="inlineStr">
        <is>
          <t>PROD-102</t>
        </is>
      </c>
      <c r="E46" s="4" t="inlineStr">
        <is>
          <t>Monitor 27 UHD</t>
        </is>
      </c>
      <c r="F46" s="2" t="inlineStr">
        <is>
          <t>Tecnología</t>
        </is>
      </c>
      <c r="G46" s="10" t="n">
        <v>2</v>
      </c>
      <c r="H46" s="5" t="n">
        <v>280000</v>
      </c>
      <c r="I46" s="5" t="n">
        <v>190000</v>
      </c>
      <c r="J46" s="5" t="n">
        <v>56000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TXN-20260728-018</t>
        </is>
      </c>
      <c r="C47" s="6" t="n">
        <v>1</v>
      </c>
      <c r="D47" s="6" t="inlineStr">
        <is>
          <t>PROD-106</t>
        </is>
      </c>
      <c r="E47" s="8" t="inlineStr">
        <is>
          <t>Silla Ergonómica Oficina</t>
        </is>
      </c>
      <c r="F47" s="6" t="inlineStr">
        <is>
          <t>Muebles</t>
        </is>
      </c>
      <c r="G47" s="11" t="n">
        <v>1</v>
      </c>
      <c r="H47" s="9" t="n">
        <v>185000</v>
      </c>
      <c r="I47" s="9" t="n">
        <v>115000</v>
      </c>
      <c r="J47" s="9" t="n">
        <v>18500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TXN-20260728-018</t>
        </is>
      </c>
      <c r="C48" s="2" t="n">
        <v>2</v>
      </c>
      <c r="D48" s="2" t="inlineStr">
        <is>
          <t>PROD-104</t>
        </is>
      </c>
      <c r="E48" s="4" t="inlineStr">
        <is>
          <t>Mouse Inalámbrico</t>
        </is>
      </c>
      <c r="F48" s="2" t="inlineStr">
        <is>
          <t>Accesorios</t>
        </is>
      </c>
      <c r="G48" s="10" t="n">
        <v>2</v>
      </c>
      <c r="H48" s="5" t="n">
        <v>25000</v>
      </c>
      <c r="I48" s="5" t="n">
        <v>11000</v>
      </c>
      <c r="J48" s="5" t="n">
        <v>2500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TXN-20260728-018</t>
        </is>
      </c>
      <c r="C49" s="6" t="n">
        <v>3</v>
      </c>
      <c r="D49" s="6" t="inlineStr">
        <is>
          <t>PROD-106</t>
        </is>
      </c>
      <c r="E49" s="8" t="inlineStr">
        <is>
          <t>Silla Ergonómica Oficina</t>
        </is>
      </c>
      <c r="F49" s="6" t="inlineStr">
        <is>
          <t>Muebles</t>
        </is>
      </c>
      <c r="G49" s="11" t="n">
        <v>2</v>
      </c>
      <c r="H49" s="9" t="n">
        <v>185000</v>
      </c>
      <c r="I49" s="9" t="n">
        <v>115000</v>
      </c>
      <c r="J49" s="9" t="n">
        <v>18500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TXN-20260728-018</t>
        </is>
      </c>
      <c r="C50" s="2" t="n">
        <v>4</v>
      </c>
      <c r="D50" s="2" t="inlineStr">
        <is>
          <t>PROD-101</t>
        </is>
      </c>
      <c r="E50" s="4" t="inlineStr">
        <is>
          <t>Notebook Pro 15</t>
        </is>
      </c>
      <c r="F50" s="2" t="inlineStr">
        <is>
          <t>Tecnología</t>
        </is>
      </c>
      <c r="G50" s="10" t="n">
        <v>3</v>
      </c>
      <c r="H50" s="5" t="n">
        <v>850000</v>
      </c>
      <c r="I50" s="5" t="n">
        <v>620000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TXN-20260728-019</t>
        </is>
      </c>
      <c r="C51" s="6" t="n">
        <v>1</v>
      </c>
      <c r="D51" s="6" t="inlineStr">
        <is>
          <t>PROD-108</t>
        </is>
      </c>
      <c r="E51" s="8" t="inlineStr">
        <is>
          <t>Webcam 4K Ultra</t>
        </is>
      </c>
      <c r="F51" s="6" t="inlineStr">
        <is>
          <t>Tecnología</t>
        </is>
      </c>
      <c r="G51" s="11" t="n">
        <v>3</v>
      </c>
      <c r="H51" s="9" t="n">
        <v>75000</v>
      </c>
      <c r="I51" s="9" t="n">
        <v>42000</v>
      </c>
      <c r="J51" s="9" t="n">
        <v>22500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TXN-20260728-019</t>
        </is>
      </c>
      <c r="C52" s="2" t="n">
        <v>2</v>
      </c>
      <c r="D52" s="2" t="inlineStr">
        <is>
          <t>PROD-108</t>
        </is>
      </c>
      <c r="E52" s="4" t="inlineStr">
        <is>
          <t>Webcam 4K Ultra</t>
        </is>
      </c>
      <c r="F52" s="2" t="inlineStr">
        <is>
          <t>Tecnología</t>
        </is>
      </c>
      <c r="G52" s="10" t="n">
        <v>1</v>
      </c>
      <c r="H52" s="5" t="n">
        <v>75000</v>
      </c>
      <c r="I52" s="5" t="n">
        <v>42000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TXN-20260728-020</t>
        </is>
      </c>
      <c r="C53" s="6" t="n">
        <v>1</v>
      </c>
      <c r="D53" s="6" t="inlineStr">
        <is>
          <t>PROD-107</t>
        </is>
      </c>
      <c r="E53" s="8" t="inlineStr">
        <is>
          <t>Escritorio Ajustable</t>
        </is>
      </c>
      <c r="F53" s="6" t="inlineStr">
        <is>
          <t>Muebles</t>
        </is>
      </c>
      <c r="G53" s="11" t="n">
        <v>3</v>
      </c>
      <c r="H53" s="9" t="n">
        <v>240000</v>
      </c>
      <c r="I53" s="9" t="n">
        <v>150000</v>
      </c>
      <c r="J53" s="9" t="n">
        <v>36000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TXN-20260728-020</t>
        </is>
      </c>
      <c r="C54" s="2" t="n">
        <v>2</v>
      </c>
      <c r="D54" s="2" t="inlineStr">
        <is>
          <t>PROD-106</t>
        </is>
      </c>
      <c r="E54" s="4" t="inlineStr">
        <is>
          <t>Silla Ergonómica Oficina</t>
        </is>
      </c>
      <c r="F54" s="2" t="inlineStr">
        <is>
          <t>Muebles</t>
        </is>
      </c>
      <c r="G54" s="10" t="n">
        <v>3</v>
      </c>
      <c r="H54" s="5" t="n">
        <v>185000</v>
      </c>
      <c r="I54" s="5" t="n">
        <v>115000</v>
      </c>
      <c r="J54" s="5" t="n">
        <v>55500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TXN-20260728-020</t>
        </is>
      </c>
      <c r="C55" s="6" t="n">
        <v>3</v>
      </c>
      <c r="D55" s="6" t="inlineStr">
        <is>
          <t>PROD-105</t>
        </is>
      </c>
      <c r="E55" s="8" t="inlineStr">
        <is>
          <t>Auriculares Bluetooth</t>
        </is>
      </c>
      <c r="F55" s="6" t="inlineStr">
        <is>
          <t>Audio</t>
        </is>
      </c>
      <c r="G55" s="11" t="n">
        <v>2</v>
      </c>
      <c r="H55" s="9" t="n">
        <v>65000</v>
      </c>
      <c r="I55" s="9" t="n">
        <v>35000</v>
      </c>
      <c r="J55" s="9" t="n">
        <v>6500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TXN-20260728-021</t>
        </is>
      </c>
      <c r="C56" s="2" t="n">
        <v>1</v>
      </c>
      <c r="D56" s="2" t="inlineStr">
        <is>
          <t>PROD-108</t>
        </is>
      </c>
      <c r="E56" s="4" t="inlineStr">
        <is>
          <t>Webcam 4K Ultra</t>
        </is>
      </c>
      <c r="F56" s="2" t="inlineStr">
        <is>
          <t>Tecnología</t>
        </is>
      </c>
      <c r="G56" s="10" t="n">
        <v>2</v>
      </c>
      <c r="H56" s="5" t="n">
        <v>75000</v>
      </c>
      <c r="I56" s="5" t="n">
        <v>42000</v>
      </c>
      <c r="J56" s="5" t="n">
        <v>7500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TXN-20260728-021</t>
        </is>
      </c>
      <c r="C57" s="6" t="n">
        <v>2</v>
      </c>
      <c r="D57" s="6" t="inlineStr">
        <is>
          <t>PROD-102</t>
        </is>
      </c>
      <c r="E57" s="8" t="inlineStr">
        <is>
          <t>Monitor 27 UHD</t>
        </is>
      </c>
      <c r="F57" s="6" t="inlineStr">
        <is>
          <t>Tecnología</t>
        </is>
      </c>
      <c r="G57" s="11" t="n">
        <v>1</v>
      </c>
      <c r="H57" s="9" t="n">
        <v>280000</v>
      </c>
      <c r="I57" s="9" t="n">
        <v>190000</v>
      </c>
      <c r="J57" s="9" t="n">
        <v>14000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TXN-20260728-022</t>
        </is>
      </c>
      <c r="C58" s="2" t="n">
        <v>1</v>
      </c>
      <c r="D58" s="2" t="inlineStr">
        <is>
          <t>PROD-105</t>
        </is>
      </c>
      <c r="E58" s="4" t="inlineStr">
        <is>
          <t>Auriculares Bluetooth</t>
        </is>
      </c>
      <c r="F58" s="2" t="inlineStr">
        <is>
          <t>Audio</t>
        </is>
      </c>
      <c r="G58" s="10" t="n">
        <v>1</v>
      </c>
      <c r="H58" s="5" t="n">
        <v>65000</v>
      </c>
      <c r="I58" s="5" t="n">
        <v>35000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TXN-20260728-022</t>
        </is>
      </c>
      <c r="C59" s="6" t="n">
        <v>2</v>
      </c>
      <c r="D59" s="6" t="inlineStr">
        <is>
          <t>PROD-105</t>
        </is>
      </c>
      <c r="E59" s="8" t="inlineStr">
        <is>
          <t>Auriculares Bluetooth</t>
        </is>
      </c>
      <c r="F59" s="6" t="inlineStr">
        <is>
          <t>Audio</t>
        </is>
      </c>
      <c r="G59" s="11" t="n">
        <v>3</v>
      </c>
      <c r="H59" s="9" t="n">
        <v>65000</v>
      </c>
      <c r="I59" s="9" t="n">
        <v>35000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TXN-20260728-023</t>
        </is>
      </c>
      <c r="C60" s="2" t="n">
        <v>1</v>
      </c>
      <c r="D60" s="2" t="inlineStr">
        <is>
          <t>PROD-103</t>
        </is>
      </c>
      <c r="E60" s="4" t="inlineStr">
        <is>
          <t>Teclado Mecánico RGB</t>
        </is>
      </c>
      <c r="F60" s="2" t="inlineStr">
        <is>
          <t>Accesorios</t>
        </is>
      </c>
      <c r="G60" s="10" t="n">
        <v>1</v>
      </c>
      <c r="H60" s="5" t="n">
        <v>45000</v>
      </c>
      <c r="I60" s="5" t="n">
        <v>22000</v>
      </c>
      <c r="J60" s="5" t="n">
        <v>2250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TXN-20260728-023</t>
        </is>
      </c>
      <c r="C61" s="6" t="n">
        <v>2</v>
      </c>
      <c r="D61" s="6" t="inlineStr">
        <is>
          <t>PROD-108</t>
        </is>
      </c>
      <c r="E61" s="8" t="inlineStr">
        <is>
          <t>Webcam 4K Ultra</t>
        </is>
      </c>
      <c r="F61" s="6" t="inlineStr">
        <is>
          <t>Tecnología</t>
        </is>
      </c>
      <c r="G61" s="11" t="n">
        <v>1</v>
      </c>
      <c r="H61" s="9" t="n">
        <v>75000</v>
      </c>
      <c r="I61" s="9" t="n">
        <v>42000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TXN-20260728-023</t>
        </is>
      </c>
      <c r="C62" s="2" t="n">
        <v>3</v>
      </c>
      <c r="D62" s="2" t="inlineStr">
        <is>
          <t>PROD-107</t>
        </is>
      </c>
      <c r="E62" s="4" t="inlineStr">
        <is>
          <t>Escritorio Ajustable</t>
        </is>
      </c>
      <c r="F62" s="2" t="inlineStr">
        <is>
          <t>Muebles</t>
        </is>
      </c>
      <c r="G62" s="10" t="n">
        <v>2</v>
      </c>
      <c r="H62" s="5" t="n">
        <v>240000</v>
      </c>
      <c r="I62" s="5" t="n">
        <v>150000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TXN-20260728-024</t>
        </is>
      </c>
      <c r="C63" s="6" t="n">
        <v>1</v>
      </c>
      <c r="D63" s="6" t="inlineStr">
        <is>
          <t>PROD-107</t>
        </is>
      </c>
      <c r="E63" s="8" t="inlineStr">
        <is>
          <t>Escritorio Ajustable</t>
        </is>
      </c>
      <c r="F63" s="6" t="inlineStr">
        <is>
          <t>Muebles</t>
        </is>
      </c>
      <c r="G63" s="11" t="n">
        <v>3</v>
      </c>
      <c r="H63" s="9" t="n">
        <v>240000</v>
      </c>
      <c r="I63" s="9" t="n">
        <v>150000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TXN-20260728-025</t>
        </is>
      </c>
      <c r="C64" s="2" t="n">
        <v>1</v>
      </c>
      <c r="D64" s="2" t="inlineStr">
        <is>
          <t>PROD-102</t>
        </is>
      </c>
      <c r="E64" s="4" t="inlineStr">
        <is>
          <t>Monitor 27 UHD</t>
        </is>
      </c>
      <c r="F64" s="2" t="inlineStr">
        <is>
          <t>Tecnología</t>
        </is>
      </c>
      <c r="G64" s="10" t="n">
        <v>1</v>
      </c>
      <c r="H64" s="5" t="n">
        <v>280000</v>
      </c>
      <c r="I64" s="5" t="n">
        <v>190000</v>
      </c>
      <c r="J64" s="5" t="n">
        <v>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TXN-20260728-026</t>
        </is>
      </c>
      <c r="C65" s="6" t="n">
        <v>1</v>
      </c>
      <c r="D65" s="6" t="inlineStr">
        <is>
          <t>PROD-103</t>
        </is>
      </c>
      <c r="E65" s="8" t="inlineStr">
        <is>
          <t>Teclado Mecánico RGB</t>
        </is>
      </c>
      <c r="F65" s="6" t="inlineStr">
        <is>
          <t>Accesorios</t>
        </is>
      </c>
      <c r="G65" s="11" t="n">
        <v>1</v>
      </c>
      <c r="H65" s="9" t="n">
        <v>45000</v>
      </c>
      <c r="I65" s="9" t="n">
        <v>22000</v>
      </c>
      <c r="J65" s="9" t="n">
        <v>4500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TXN-20260728-027</t>
        </is>
      </c>
      <c r="C66" s="2" t="n">
        <v>1</v>
      </c>
      <c r="D66" s="2" t="inlineStr">
        <is>
          <t>PROD-104</t>
        </is>
      </c>
      <c r="E66" s="4" t="inlineStr">
        <is>
          <t>Mouse Inalámbrico</t>
        </is>
      </c>
      <c r="F66" s="2" t="inlineStr">
        <is>
          <t>Accesorios</t>
        </is>
      </c>
      <c r="G66" s="10" t="n">
        <v>2</v>
      </c>
      <c r="H66" s="5" t="n">
        <v>25000</v>
      </c>
      <c r="I66" s="5" t="n">
        <v>11000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TXN-20260728-028</t>
        </is>
      </c>
      <c r="C67" s="6" t="n">
        <v>1</v>
      </c>
      <c r="D67" s="6" t="inlineStr">
        <is>
          <t>PROD-101</t>
        </is>
      </c>
      <c r="E67" s="8" t="inlineStr">
        <is>
          <t>Notebook Pro 15</t>
        </is>
      </c>
      <c r="F67" s="6" t="inlineStr">
        <is>
          <t>Tecnología</t>
        </is>
      </c>
      <c r="G67" s="11" t="n">
        <v>1</v>
      </c>
      <c r="H67" s="9" t="n">
        <v>850000</v>
      </c>
      <c r="I67" s="9" t="n">
        <v>620000</v>
      </c>
      <c r="J67" s="9" t="n">
        <v>42500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TXN-20260728-029</t>
        </is>
      </c>
      <c r="C68" s="2" t="n">
        <v>1</v>
      </c>
      <c r="D68" s="2" t="inlineStr">
        <is>
          <t>PROD-108</t>
        </is>
      </c>
      <c r="E68" s="4" t="inlineStr">
        <is>
          <t>Webcam 4K Ultra</t>
        </is>
      </c>
      <c r="F68" s="2" t="inlineStr">
        <is>
          <t>Tecnología</t>
        </is>
      </c>
      <c r="G68" s="10" t="n">
        <v>1</v>
      </c>
      <c r="H68" s="5" t="n">
        <v>75000</v>
      </c>
      <c r="I68" s="5" t="n">
        <v>42000</v>
      </c>
      <c r="J68" s="5" t="n">
        <v>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TXN-20260728-029</t>
        </is>
      </c>
      <c r="C69" s="6" t="n">
        <v>2</v>
      </c>
      <c r="D69" s="6" t="inlineStr">
        <is>
          <t>PROD-107</t>
        </is>
      </c>
      <c r="E69" s="8" t="inlineStr">
        <is>
          <t>Escritorio Ajustable</t>
        </is>
      </c>
      <c r="F69" s="6" t="inlineStr">
        <is>
          <t>Muebles</t>
        </is>
      </c>
      <c r="G69" s="11" t="n">
        <v>3</v>
      </c>
      <c r="H69" s="9" t="n">
        <v>240000</v>
      </c>
      <c r="I69" s="9" t="n">
        <v>150000</v>
      </c>
      <c r="J69" s="9" t="n">
        <v>36000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TXN-20260728-029</t>
        </is>
      </c>
      <c r="C70" s="2" t="n">
        <v>3</v>
      </c>
      <c r="D70" s="2" t="inlineStr">
        <is>
          <t>PROD-105</t>
        </is>
      </c>
      <c r="E70" s="4" t="inlineStr">
        <is>
          <t>Auriculares Bluetooth</t>
        </is>
      </c>
      <c r="F70" s="2" t="inlineStr">
        <is>
          <t>Audio</t>
        </is>
      </c>
      <c r="G70" s="10" t="n">
        <v>1</v>
      </c>
      <c r="H70" s="5" t="n">
        <v>65000</v>
      </c>
      <c r="I70" s="5" t="n">
        <v>35000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TXN-20260728-029</t>
        </is>
      </c>
      <c r="C71" s="6" t="n">
        <v>4</v>
      </c>
      <c r="D71" s="6" t="inlineStr">
        <is>
          <t>PROD-104</t>
        </is>
      </c>
      <c r="E71" s="8" t="inlineStr">
        <is>
          <t>Mouse Inalámbrico</t>
        </is>
      </c>
      <c r="F71" s="6" t="inlineStr">
        <is>
          <t>Accesorios</t>
        </is>
      </c>
      <c r="G71" s="11" t="n">
        <v>3</v>
      </c>
      <c r="H71" s="9" t="n">
        <v>25000</v>
      </c>
      <c r="I71" s="9" t="n">
        <v>11000</v>
      </c>
      <c r="J71" s="9" t="n">
        <v>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TXN-20260728-030</t>
        </is>
      </c>
      <c r="C72" s="2" t="n">
        <v>1</v>
      </c>
      <c r="D72" s="2" t="inlineStr">
        <is>
          <t>PROD-105</t>
        </is>
      </c>
      <c r="E72" s="4" t="inlineStr">
        <is>
          <t>Auriculares Bluetooth</t>
        </is>
      </c>
      <c r="F72" s="2" t="inlineStr">
        <is>
          <t>Audio</t>
        </is>
      </c>
      <c r="G72" s="10" t="n">
        <v>1</v>
      </c>
      <c r="H72" s="5" t="n">
        <v>65000</v>
      </c>
      <c r="I72" s="5" t="n">
        <v>35000</v>
      </c>
      <c r="J72" s="5" t="n">
        <v>6500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TXN-20260728-030</t>
        </is>
      </c>
      <c r="C73" s="6" t="n">
        <v>2</v>
      </c>
      <c r="D73" s="6" t="inlineStr">
        <is>
          <t>PROD-108</t>
        </is>
      </c>
      <c r="E73" s="8" t="inlineStr">
        <is>
          <t>Webcam 4K Ultra</t>
        </is>
      </c>
      <c r="F73" s="6" t="inlineStr">
        <is>
          <t>Tecnología</t>
        </is>
      </c>
      <c r="G73" s="11" t="n">
        <v>1</v>
      </c>
      <c r="H73" s="9" t="n">
        <v>75000</v>
      </c>
      <c r="I73" s="9" t="n">
        <v>42000</v>
      </c>
      <c r="J73" s="9" t="n">
        <v>7500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TXN-20260728-030</t>
        </is>
      </c>
      <c r="C74" s="2" t="n">
        <v>3</v>
      </c>
      <c r="D74" s="2" t="inlineStr">
        <is>
          <t>PROD-106</t>
        </is>
      </c>
      <c r="E74" s="4" t="inlineStr">
        <is>
          <t>Silla Ergonómica Oficina</t>
        </is>
      </c>
      <c r="F74" s="2" t="inlineStr">
        <is>
          <t>Muebles</t>
        </is>
      </c>
      <c r="G74" s="10" t="n">
        <v>2</v>
      </c>
      <c r="H74" s="5" t="n">
        <v>185000</v>
      </c>
      <c r="I74" s="5" t="n">
        <v>115000</v>
      </c>
      <c r="J74" s="5" t="n">
        <v>18500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TXN-20260728-030</t>
        </is>
      </c>
      <c r="C75" s="6" t="n">
        <v>4</v>
      </c>
      <c r="D75" s="6" t="inlineStr">
        <is>
          <t>PROD-106</t>
        </is>
      </c>
      <c r="E75" s="8" t="inlineStr">
        <is>
          <t>Silla Ergonómica Oficina</t>
        </is>
      </c>
      <c r="F75" s="6" t="inlineStr">
        <is>
          <t>Muebles</t>
        </is>
      </c>
      <c r="G75" s="11" t="n">
        <v>3</v>
      </c>
      <c r="H75" s="9" t="n">
        <v>185000</v>
      </c>
      <c r="I75" s="9" t="n">
        <v>115000</v>
      </c>
      <c r="J75" s="9" t="n">
        <v>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TXN-20260728-031</t>
        </is>
      </c>
      <c r="C76" s="2" t="n">
        <v>1</v>
      </c>
      <c r="D76" s="2" t="inlineStr">
        <is>
          <t>PROD-102</t>
        </is>
      </c>
      <c r="E76" s="4" t="inlineStr">
        <is>
          <t>Monitor 27 UHD</t>
        </is>
      </c>
      <c r="F76" s="2" t="inlineStr">
        <is>
          <t>Tecnología</t>
        </is>
      </c>
      <c r="G76" s="10" t="n">
        <v>2</v>
      </c>
      <c r="H76" s="5" t="n">
        <v>280000</v>
      </c>
      <c r="I76" s="5" t="n">
        <v>190000</v>
      </c>
      <c r="J76" s="5" t="n">
        <v>28000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TXN-20260728-031</t>
        </is>
      </c>
      <c r="C77" s="6" t="n">
        <v>2</v>
      </c>
      <c r="D77" s="6" t="inlineStr">
        <is>
          <t>PROD-106</t>
        </is>
      </c>
      <c r="E77" s="8" t="inlineStr">
        <is>
          <t>Silla Ergonómica Oficina</t>
        </is>
      </c>
      <c r="F77" s="6" t="inlineStr">
        <is>
          <t>Muebles</t>
        </is>
      </c>
      <c r="G77" s="11" t="n">
        <v>1</v>
      </c>
      <c r="H77" s="9" t="n">
        <v>185000</v>
      </c>
      <c r="I77" s="9" t="n">
        <v>115000</v>
      </c>
      <c r="J77" s="9" t="n">
        <v>18500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TXN-20260728-031</t>
        </is>
      </c>
      <c r="C78" s="2" t="n">
        <v>3</v>
      </c>
      <c r="D78" s="2" t="inlineStr">
        <is>
          <t>PROD-101</t>
        </is>
      </c>
      <c r="E78" s="4" t="inlineStr">
        <is>
          <t>Notebook Pro 15</t>
        </is>
      </c>
      <c r="F78" s="2" t="inlineStr">
        <is>
          <t>Tecnología</t>
        </is>
      </c>
      <c r="G78" s="10" t="n">
        <v>3</v>
      </c>
      <c r="H78" s="5" t="n">
        <v>850000</v>
      </c>
      <c r="I78" s="5" t="n">
        <v>620000</v>
      </c>
      <c r="J78" s="5" t="n">
        <v>255000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TXN-20260728-031</t>
        </is>
      </c>
      <c r="C79" s="6" t="n">
        <v>4</v>
      </c>
      <c r="D79" s="6" t="inlineStr">
        <is>
          <t>PROD-107</t>
        </is>
      </c>
      <c r="E79" s="8" t="inlineStr">
        <is>
          <t>Escritorio Ajustable</t>
        </is>
      </c>
      <c r="F79" s="6" t="inlineStr">
        <is>
          <t>Muebles</t>
        </is>
      </c>
      <c r="G79" s="11" t="n">
        <v>1</v>
      </c>
      <c r="H79" s="9" t="n">
        <v>240000</v>
      </c>
      <c r="I79" s="9" t="n">
        <v>150000</v>
      </c>
      <c r="J79" s="9" t="n">
        <v>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TXN-20260728-032</t>
        </is>
      </c>
      <c r="C80" s="2" t="n">
        <v>1</v>
      </c>
      <c r="D80" s="2" t="inlineStr">
        <is>
          <t>PROD-101</t>
        </is>
      </c>
      <c r="E80" s="4" t="inlineStr">
        <is>
          <t>Notebook Pro 15</t>
        </is>
      </c>
      <c r="F80" s="2" t="inlineStr">
        <is>
          <t>Tecnología</t>
        </is>
      </c>
      <c r="G80" s="10" t="n">
        <v>1</v>
      </c>
      <c r="H80" s="5" t="n">
        <v>850000</v>
      </c>
      <c r="I80" s="5" t="n">
        <v>620000</v>
      </c>
      <c r="J80" s="5" t="n">
        <v>42500</v>
      </c>
      <c r="K80" s="5">
        <f>(G80*H80)-J80</f>
        <v/>
      </c>
      <c r="L80" s="5">
        <f>G80*I80</f>
        <v/>
      </c>
      <c r="M80" s="5">
        <f>K80-L80</f>
        <v/>
      </c>
    </row>
    <row r="81">
      <c r="A81" s="6" t="n">
        <v>80</v>
      </c>
      <c r="B81" s="6" t="inlineStr">
        <is>
          <t>TXN-20260728-032</t>
        </is>
      </c>
      <c r="C81" s="6" t="n">
        <v>2</v>
      </c>
      <c r="D81" s="6" t="inlineStr">
        <is>
          <t>PROD-103</t>
        </is>
      </c>
      <c r="E81" s="8" t="inlineStr">
        <is>
          <t>Teclado Mecánico RGB</t>
        </is>
      </c>
      <c r="F81" s="6" t="inlineStr">
        <is>
          <t>Accesorios</t>
        </is>
      </c>
      <c r="G81" s="11" t="n">
        <v>2</v>
      </c>
      <c r="H81" s="9" t="n">
        <v>45000</v>
      </c>
      <c r="I81" s="9" t="n">
        <v>22000</v>
      </c>
      <c r="J81" s="9" t="n">
        <v>9000</v>
      </c>
      <c r="K81" s="9">
        <f>(G81*H81)-J81</f>
        <v/>
      </c>
      <c r="L81" s="9">
        <f>G81*I81</f>
        <v/>
      </c>
      <c r="M81" s="9">
        <f>K81-L81</f>
        <v/>
      </c>
    </row>
    <row r="82">
      <c r="A82" s="2" t="n">
        <v>81</v>
      </c>
      <c r="B82" s="2" t="inlineStr">
        <is>
          <t>TXN-20260728-032</t>
        </is>
      </c>
      <c r="C82" s="2" t="n">
        <v>3</v>
      </c>
      <c r="D82" s="2" t="inlineStr">
        <is>
          <t>PROD-108</t>
        </is>
      </c>
      <c r="E82" s="4" t="inlineStr">
        <is>
          <t>Webcam 4K Ultra</t>
        </is>
      </c>
      <c r="F82" s="2" t="inlineStr">
        <is>
          <t>Tecnología</t>
        </is>
      </c>
      <c r="G82" s="10" t="n">
        <v>1</v>
      </c>
      <c r="H82" s="5" t="n">
        <v>75000</v>
      </c>
      <c r="I82" s="5" t="n">
        <v>42000</v>
      </c>
      <c r="J82" s="5" t="n">
        <v>0</v>
      </c>
      <c r="K82" s="5">
        <f>(G82*H82)-J82</f>
        <v/>
      </c>
      <c r="L82" s="5">
        <f>G82*I82</f>
        <v/>
      </c>
      <c r="M82" s="5">
        <f>K82-L82</f>
        <v/>
      </c>
    </row>
    <row r="83">
      <c r="A83" s="6" t="n">
        <v>82</v>
      </c>
      <c r="B83" s="6" t="inlineStr">
        <is>
          <t>TXN-20260728-032</t>
        </is>
      </c>
      <c r="C83" s="6" t="n">
        <v>4</v>
      </c>
      <c r="D83" s="6" t="inlineStr">
        <is>
          <t>PROD-104</t>
        </is>
      </c>
      <c r="E83" s="8" t="inlineStr">
        <is>
          <t>Mouse Inalámbrico</t>
        </is>
      </c>
      <c r="F83" s="6" t="inlineStr">
        <is>
          <t>Accesorios</t>
        </is>
      </c>
      <c r="G83" s="11" t="n">
        <v>3</v>
      </c>
      <c r="H83" s="9" t="n">
        <v>25000</v>
      </c>
      <c r="I83" s="9" t="n">
        <v>11000</v>
      </c>
      <c r="J83" s="9" t="n">
        <v>0</v>
      </c>
      <c r="K83" s="9">
        <f>(G83*H83)-J83</f>
        <v/>
      </c>
      <c r="L83" s="9">
        <f>G83*I83</f>
        <v/>
      </c>
      <c r="M83" s="9">
        <f>K83-L83</f>
        <v/>
      </c>
    </row>
    <row r="84">
      <c r="A84" s="2" t="n">
        <v>83</v>
      </c>
      <c r="B84" s="2" t="inlineStr">
        <is>
          <t>TXN-20260728-033</t>
        </is>
      </c>
      <c r="C84" s="2" t="n">
        <v>1</v>
      </c>
      <c r="D84" s="2" t="inlineStr">
        <is>
          <t>PROD-103</t>
        </is>
      </c>
      <c r="E84" s="4" t="inlineStr">
        <is>
          <t>Teclado Mecánico RGB</t>
        </is>
      </c>
      <c r="F84" s="2" t="inlineStr">
        <is>
          <t>Accesorios</t>
        </is>
      </c>
      <c r="G84" s="10" t="n">
        <v>2</v>
      </c>
      <c r="H84" s="5" t="n">
        <v>45000</v>
      </c>
      <c r="I84" s="5" t="n">
        <v>22000</v>
      </c>
      <c r="J84" s="5" t="n">
        <v>4500</v>
      </c>
      <c r="K84" s="5">
        <f>(G84*H84)-J84</f>
        <v/>
      </c>
      <c r="L84" s="5">
        <f>G84*I84</f>
        <v/>
      </c>
      <c r="M84" s="5">
        <f>K84-L84</f>
        <v/>
      </c>
    </row>
    <row r="85">
      <c r="A85" s="6" t="n">
        <v>84</v>
      </c>
      <c r="B85" s="6" t="inlineStr">
        <is>
          <t>TXN-20260728-034</t>
        </is>
      </c>
      <c r="C85" s="6" t="n">
        <v>1</v>
      </c>
      <c r="D85" s="6" t="inlineStr">
        <is>
          <t>PROD-107</t>
        </is>
      </c>
      <c r="E85" s="8" t="inlineStr">
        <is>
          <t>Escritorio Ajustable</t>
        </is>
      </c>
      <c r="F85" s="6" t="inlineStr">
        <is>
          <t>Muebles</t>
        </is>
      </c>
      <c r="G85" s="11" t="n">
        <v>1</v>
      </c>
      <c r="H85" s="9" t="n">
        <v>240000</v>
      </c>
      <c r="I85" s="9" t="n">
        <v>150000</v>
      </c>
      <c r="J85" s="9" t="n">
        <v>0</v>
      </c>
      <c r="K85" s="9">
        <f>(G85*H85)-J85</f>
        <v/>
      </c>
      <c r="L85" s="9">
        <f>G85*I85</f>
        <v/>
      </c>
      <c r="M85" s="9">
        <f>K85-L85</f>
        <v/>
      </c>
    </row>
    <row r="86">
      <c r="A86" s="2" t="n">
        <v>85</v>
      </c>
      <c r="B86" s="2" t="inlineStr">
        <is>
          <t>TXN-20260728-034</t>
        </is>
      </c>
      <c r="C86" s="2" t="n">
        <v>2</v>
      </c>
      <c r="D86" s="2" t="inlineStr">
        <is>
          <t>PROD-102</t>
        </is>
      </c>
      <c r="E86" s="4" t="inlineStr">
        <is>
          <t>Monitor 27 UHD</t>
        </is>
      </c>
      <c r="F86" s="2" t="inlineStr">
        <is>
          <t>Tecnología</t>
        </is>
      </c>
      <c r="G86" s="10" t="n">
        <v>2</v>
      </c>
      <c r="H86" s="5" t="n">
        <v>280000</v>
      </c>
      <c r="I86" s="5" t="n">
        <v>190000</v>
      </c>
      <c r="J86" s="5" t="n">
        <v>56000</v>
      </c>
      <c r="K86" s="5">
        <f>(G86*H86)-J86</f>
        <v/>
      </c>
      <c r="L86" s="5">
        <f>G86*I86</f>
        <v/>
      </c>
      <c r="M86" s="5">
        <f>K86-L86</f>
        <v/>
      </c>
    </row>
    <row r="87">
      <c r="A87" s="6" t="n">
        <v>86</v>
      </c>
      <c r="B87" s="6" t="inlineStr">
        <is>
          <t>TXN-20260728-035</t>
        </is>
      </c>
      <c r="C87" s="6" t="n">
        <v>1</v>
      </c>
      <c r="D87" s="6" t="inlineStr">
        <is>
          <t>PROD-108</t>
        </is>
      </c>
      <c r="E87" s="8" t="inlineStr">
        <is>
          <t>Webcam 4K Ultra</t>
        </is>
      </c>
      <c r="F87" s="6" t="inlineStr">
        <is>
          <t>Tecnología</t>
        </is>
      </c>
      <c r="G87" s="11" t="n">
        <v>2</v>
      </c>
      <c r="H87" s="9" t="n">
        <v>75000</v>
      </c>
      <c r="I87" s="9" t="n">
        <v>42000</v>
      </c>
      <c r="J87" s="9" t="n">
        <v>7500</v>
      </c>
      <c r="K87" s="9">
        <f>(G87*H87)-J87</f>
        <v/>
      </c>
      <c r="L87" s="9">
        <f>G87*I87</f>
        <v/>
      </c>
      <c r="M87" s="9">
        <f>K87-L87</f>
        <v/>
      </c>
    </row>
    <row r="88">
      <c r="A88" s="2" t="n">
        <v>87</v>
      </c>
      <c r="B88" s="2" t="inlineStr">
        <is>
          <t>TXN-20260728-035</t>
        </is>
      </c>
      <c r="C88" s="2" t="n">
        <v>2</v>
      </c>
      <c r="D88" s="2" t="inlineStr">
        <is>
          <t>PROD-107</t>
        </is>
      </c>
      <c r="E88" s="4" t="inlineStr">
        <is>
          <t>Escritorio Ajustable</t>
        </is>
      </c>
      <c r="F88" s="2" t="inlineStr">
        <is>
          <t>Muebles</t>
        </is>
      </c>
      <c r="G88" s="10" t="n">
        <v>2</v>
      </c>
      <c r="H88" s="5" t="n">
        <v>240000</v>
      </c>
      <c r="I88" s="5" t="n">
        <v>150000</v>
      </c>
      <c r="J88" s="5" t="n">
        <v>24000</v>
      </c>
      <c r="K88" s="5">
        <f>(G88*H88)-J88</f>
        <v/>
      </c>
      <c r="L88" s="5">
        <f>G88*I88</f>
        <v/>
      </c>
      <c r="M88" s="5">
        <f>K88-L88</f>
        <v/>
      </c>
    </row>
    <row r="89">
      <c r="A89" s="6" t="n">
        <v>88</v>
      </c>
      <c r="B89" s="6" t="inlineStr">
        <is>
          <t>TXN-20260728-035</t>
        </is>
      </c>
      <c r="C89" s="6" t="n">
        <v>3</v>
      </c>
      <c r="D89" s="6" t="inlineStr">
        <is>
          <t>PROD-104</t>
        </is>
      </c>
      <c r="E89" s="8" t="inlineStr">
        <is>
          <t>Mouse Inalámbrico</t>
        </is>
      </c>
      <c r="F89" s="6" t="inlineStr">
        <is>
          <t>Accesorios</t>
        </is>
      </c>
      <c r="G89" s="11" t="n">
        <v>3</v>
      </c>
      <c r="H89" s="9" t="n">
        <v>25000</v>
      </c>
      <c r="I89" s="9" t="n">
        <v>11000</v>
      </c>
      <c r="J89" s="9" t="n">
        <v>0</v>
      </c>
      <c r="K89" s="9">
        <f>(G89*H89)-J89</f>
        <v/>
      </c>
      <c r="L89" s="9">
        <f>G89*I89</f>
        <v/>
      </c>
      <c r="M89" s="9">
        <f>K89-L89</f>
        <v/>
      </c>
    </row>
    <row r="90">
      <c r="A90" s="2" t="n">
        <v>89</v>
      </c>
      <c r="B90" s="2" t="inlineStr">
        <is>
          <t>TXN-20260728-035</t>
        </is>
      </c>
      <c r="C90" s="2" t="n">
        <v>4</v>
      </c>
      <c r="D90" s="2" t="inlineStr">
        <is>
          <t>PROD-107</t>
        </is>
      </c>
      <c r="E90" s="4" t="inlineStr">
        <is>
          <t>Escritorio Ajustable</t>
        </is>
      </c>
      <c r="F90" s="2" t="inlineStr">
        <is>
          <t>Muebles</t>
        </is>
      </c>
      <c r="G90" s="10" t="n">
        <v>1</v>
      </c>
      <c r="H90" s="5" t="n">
        <v>240000</v>
      </c>
      <c r="I90" s="5" t="n">
        <v>150000</v>
      </c>
      <c r="J90" s="5" t="n">
        <v>24000</v>
      </c>
      <c r="K90" s="5">
        <f>(G90*H90)-J90</f>
        <v/>
      </c>
      <c r="L90" s="5">
        <f>G90*I90</f>
        <v/>
      </c>
      <c r="M90" s="5">
        <f>K90-L90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2026-07-30T12:31:08Z</dcterms:created>
  <dcterms:modified xmlns:dcterms="http://purl.org/dc/terms/" xmlns:xsi="http://www.w3.org/2001/XMLSchema-instance" xsi:type="dcterms:W3CDTF">2026-07-30T12:31:09Z</dcterms:modified>
</cp:coreProperties>
</file>