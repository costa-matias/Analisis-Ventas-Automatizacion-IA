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vel Transaccion" sheetId="1" state="visible" r:id="rId1"/>
    <sheet xmlns:r="http://schemas.openxmlformats.org/officeDocument/2006/relationships" name="Nivel Detalle de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2" fillId="3" borderId="1" applyAlignment="1" pivotButton="0" quotePrefix="0" xfId="0">
      <alignment horizontal="center"/>
    </xf>
    <xf numFmtId="166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3" fontId="2" fillId="0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2" customWidth="1" min="3" max="3"/>
    <col width="20" customWidth="1" min="4" max="4"/>
    <col width="14" customWidth="1" min="5" max="5"/>
    <col width="19" customWidth="1" min="6" max="6"/>
    <col width="25" customWidth="1" min="7" max="7"/>
    <col width="142" customWidth="1" min="8" max="8"/>
    <col width="73" customWidth="1" min="9" max="9"/>
    <col width="23" customWidth="1" min="10" max="10"/>
    <col width="18" customWidth="1" min="11" max="11"/>
    <col width="73" customWidth="1" min="12" max="12"/>
    <col width="18" customWidth="1" min="13" max="13"/>
  </cols>
  <sheetData>
    <row r="1">
      <c r="A1" s="1" t="inlineStr">
        <is>
          <t>ID Transaccion</t>
        </is>
      </c>
      <c r="B1" s="1" t="inlineStr">
        <is>
          <t>Fecha Hora</t>
        </is>
      </c>
      <c r="C1" s="1" t="inlineStr">
        <is>
          <t>Sucursal</t>
        </is>
      </c>
      <c r="D1" s="1" t="inlineStr">
        <is>
          <t>Canal Venta</t>
        </is>
      </c>
      <c r="E1" s="1" t="inlineStr">
        <is>
          <t>ID Cliente</t>
        </is>
      </c>
      <c r="F1" s="1" t="inlineStr">
        <is>
          <t>Metodo Pago</t>
        </is>
      </c>
      <c r="G1" s="1" t="inlineStr">
        <is>
          <t>Vendedor</t>
        </is>
      </c>
      <c r="H1" s="1" t="inlineStr">
        <is>
          <t>Subtotal</t>
        </is>
      </c>
      <c r="I1" s="1" t="inlineStr">
        <is>
          <t>Descuento Total</t>
        </is>
      </c>
      <c r="J1" s="1" t="inlineStr">
        <is>
          <t>Impuestos (IVA 21%)</t>
        </is>
      </c>
      <c r="K1" s="1" t="inlineStr">
        <is>
          <t>Total Cobrado</t>
        </is>
      </c>
      <c r="L1" s="1" t="inlineStr">
        <is>
          <t>Costo Total ERP</t>
        </is>
      </c>
      <c r="M1" s="1" t="inlineStr">
        <is>
          <t>Margen Bruto</t>
        </is>
      </c>
    </row>
    <row r="2">
      <c r="A2" s="2" t="inlineStr">
        <is>
          <t>TXN-20260801-001</t>
        </is>
      </c>
      <c r="B2" s="3" t="n">
        <v>46235.65052083333</v>
      </c>
      <c r="C2" s="4" t="inlineStr">
        <is>
          <t>SUC-003 E-Commerce</t>
        </is>
      </c>
      <c r="D2" s="4" t="inlineStr">
        <is>
          <t>E-Commerce</t>
        </is>
      </c>
      <c r="E2" s="2" t="inlineStr">
        <is>
          <t>CLI-1332</t>
        </is>
      </c>
      <c r="F2" s="4" t="inlineStr">
        <is>
          <t>Tarjeta Crédito</t>
        </is>
      </c>
      <c r="G2" s="4" t="inlineStr">
        <is>
          <t>SISTEMA-WEB</t>
        </is>
      </c>
      <c r="H2" s="5">
        <f>SUMIF('Nivel Detalle de Item'!B:B, A2, 'Nivel Detalle de Item'!K:K)+SUMIF('Nivel Detalle de Item'!B:B, A2, 'Nivel Detalle de Item'!J:J)</f>
        <v/>
      </c>
      <c r="I2" s="5">
        <f>SUMIF('Nivel Detalle de Item'!B:B, A2, 'Nivel Detalle de Item'!J:J)</f>
        <v/>
      </c>
      <c r="J2" s="5">
        <f>(H2-I2)*0.21</f>
        <v/>
      </c>
      <c r="K2" s="5">
        <f>(H2-I2)+J2</f>
        <v/>
      </c>
      <c r="L2" s="5">
        <f>SUMIF('Nivel Detalle de Item'!B:B, A2, 'Nivel Detalle de Item'!L:L)</f>
        <v/>
      </c>
      <c r="M2" s="5">
        <f>(H2-I2)-L2</f>
        <v/>
      </c>
    </row>
    <row r="3">
      <c r="A3" s="6" t="inlineStr">
        <is>
          <t>TXN-20260801-002</t>
        </is>
      </c>
      <c r="B3" s="7" t="n">
        <v>46235.426875</v>
      </c>
      <c r="C3" s="8" t="inlineStr">
        <is>
          <t>SUC-002 Norte</t>
        </is>
      </c>
      <c r="D3" s="8" t="inlineStr">
        <is>
          <t>Venta Telefónica</t>
        </is>
      </c>
      <c r="E3" s="6" t="inlineStr">
        <is>
          <t>CLI-5561</t>
        </is>
      </c>
      <c r="F3" s="8" t="inlineStr">
        <is>
          <t>Tarjeta Crédito</t>
        </is>
      </c>
      <c r="G3" s="8" t="inlineStr">
        <is>
          <t>VEN-103 (Carlos Ruiz)</t>
        </is>
      </c>
      <c r="H3" s="9">
        <f>SUMIF('Nivel Detalle de Item'!B:B, A3, 'Nivel Detalle de Item'!K:K)+SUMIF('Nivel Detalle de Item'!B:B, A3, 'Nivel Detalle de Item'!J:J)</f>
        <v/>
      </c>
      <c r="I3" s="9">
        <f>SUMIF('Nivel Detalle de Item'!B:B, A3, 'Nivel Detalle de Item'!J:J)</f>
        <v/>
      </c>
      <c r="J3" s="9">
        <f>(H3-I3)*0.21</f>
        <v/>
      </c>
      <c r="K3" s="9">
        <f>(H3-I3)+J3</f>
        <v/>
      </c>
      <c r="L3" s="9">
        <f>SUMIF('Nivel Detalle de Item'!B:B, A3, 'Nivel Detalle de Item'!L:L)</f>
        <v/>
      </c>
      <c r="M3" s="9">
        <f>(H3-I3)-L3</f>
        <v/>
      </c>
    </row>
    <row r="4">
      <c r="A4" s="2" t="inlineStr">
        <is>
          <t>TXN-20260801-003</t>
        </is>
      </c>
      <c r="B4" s="3" t="n">
        <v>46235.63532407407</v>
      </c>
      <c r="C4" s="4" t="inlineStr">
        <is>
          <t>SUC-002 Norte</t>
        </is>
      </c>
      <c r="D4" s="4" t="inlineStr">
        <is>
          <t>Tienda Física</t>
        </is>
      </c>
      <c r="E4" s="2" t="inlineStr">
        <is>
          <t>CLI-7747</t>
        </is>
      </c>
      <c r="F4" s="4" t="inlineStr">
        <is>
          <t>Transferencia</t>
        </is>
      </c>
      <c r="G4" s="4" t="inlineStr">
        <is>
          <t>VEN-103 (Carlos Ruiz)</t>
        </is>
      </c>
      <c r="H4" s="5">
        <f>SUMIF('Nivel Detalle de Item'!B:B, A4, 'Nivel Detalle de Item'!K:K)+SUMIF('Nivel Detalle de Item'!B:B, A4, 'Nivel Detalle de Item'!J:J)</f>
        <v/>
      </c>
      <c r="I4" s="5">
        <f>SUMIF('Nivel Detalle de Item'!B:B, A4, 'Nivel Detalle de Item'!J:J)</f>
        <v/>
      </c>
      <c r="J4" s="5">
        <f>(H4-I4)*0.21</f>
        <v/>
      </c>
      <c r="K4" s="5">
        <f>(H4-I4)+J4</f>
        <v/>
      </c>
      <c r="L4" s="5">
        <f>SUMIF('Nivel Detalle de Item'!B:B, A4, 'Nivel Detalle de Item'!L:L)</f>
        <v/>
      </c>
      <c r="M4" s="5">
        <f>(H4-I4)-L4</f>
        <v/>
      </c>
    </row>
    <row r="5">
      <c r="A5" s="6" t="inlineStr">
        <is>
          <t>TXN-20260801-004</t>
        </is>
      </c>
      <c r="B5" s="7" t="n">
        <v>46235.67273148148</v>
      </c>
      <c r="C5" s="8" t="inlineStr">
        <is>
          <t>SUC-002 Norte</t>
        </is>
      </c>
      <c r="D5" s="8" t="inlineStr">
        <is>
          <t>Venta Telefónica</t>
        </is>
      </c>
      <c r="E5" s="6" t="inlineStr">
        <is>
          <t>CLI-9550</t>
        </is>
      </c>
      <c r="F5" s="8" t="inlineStr">
        <is>
          <t>Efectivo</t>
        </is>
      </c>
      <c r="G5" s="8" t="inlineStr">
        <is>
          <t>VEN-103 (Carlos Ruiz)</t>
        </is>
      </c>
      <c r="H5" s="9">
        <f>SUMIF('Nivel Detalle de Item'!B:B, A5, 'Nivel Detalle de Item'!K:K)+SUMIF('Nivel Detalle de Item'!B:B, A5, 'Nivel Detalle de Item'!J:J)</f>
        <v/>
      </c>
      <c r="I5" s="9">
        <f>SUMIF('Nivel Detalle de Item'!B:B, A5, 'Nivel Detalle de Item'!J:J)</f>
        <v/>
      </c>
      <c r="J5" s="9">
        <f>(H5-I5)*0.21</f>
        <v/>
      </c>
      <c r="K5" s="9">
        <f>(H5-I5)+J5</f>
        <v/>
      </c>
      <c r="L5" s="9">
        <f>SUMIF('Nivel Detalle de Item'!B:B, A5, 'Nivel Detalle de Item'!L:L)</f>
        <v/>
      </c>
      <c r="M5" s="9">
        <f>(H5-I5)-L5</f>
        <v/>
      </c>
    </row>
    <row r="6">
      <c r="A6" s="2" t="inlineStr">
        <is>
          <t>TXN-20260801-005</t>
        </is>
      </c>
      <c r="B6" s="3" t="n">
        <v>46235.52928240741</v>
      </c>
      <c r="C6" s="4" t="inlineStr">
        <is>
          <t>SUC-002 Norte</t>
        </is>
      </c>
      <c r="D6" s="4" t="inlineStr">
        <is>
          <t>Tienda Física</t>
        </is>
      </c>
      <c r="E6" s="2" t="inlineStr">
        <is>
          <t>CLI-6704</t>
        </is>
      </c>
      <c r="F6" s="4" t="inlineStr">
        <is>
          <t>Tarjeta Débito</t>
        </is>
      </c>
      <c r="G6" s="4" t="inlineStr">
        <is>
          <t>VEN-101 (Juan Pérez)</t>
        </is>
      </c>
      <c r="H6" s="5">
        <f>SUMIF('Nivel Detalle de Item'!B:B, A6, 'Nivel Detalle de Item'!K:K)+SUMIF('Nivel Detalle de Item'!B:B, A6, 'Nivel Detalle de Item'!J:J)</f>
        <v/>
      </c>
      <c r="I6" s="5">
        <f>SUMIF('Nivel Detalle de Item'!B:B, A6, 'Nivel Detalle de Item'!J:J)</f>
        <v/>
      </c>
      <c r="J6" s="5">
        <f>(H6-I6)*0.21</f>
        <v/>
      </c>
      <c r="K6" s="5">
        <f>(H6-I6)+J6</f>
        <v/>
      </c>
      <c r="L6" s="5">
        <f>SUMIF('Nivel Detalle de Item'!B:B, A6, 'Nivel Detalle de Item'!L:L)</f>
        <v/>
      </c>
      <c r="M6" s="5">
        <f>(H6-I6)-L6</f>
        <v/>
      </c>
    </row>
    <row r="7">
      <c r="A7" s="6" t="inlineStr">
        <is>
          <t>TXN-20260801-006</t>
        </is>
      </c>
      <c r="B7" s="7" t="n">
        <v>46235.82940972222</v>
      </c>
      <c r="C7" s="8" t="inlineStr">
        <is>
          <t>SUC-003 E-Commerce</t>
        </is>
      </c>
      <c r="D7" s="8" t="inlineStr">
        <is>
          <t>E-Commerce</t>
        </is>
      </c>
      <c r="E7" s="6" t="inlineStr">
        <is>
          <t>CLI-6130</t>
        </is>
      </c>
      <c r="F7" s="8" t="inlineStr">
        <is>
          <t>Transferencia</t>
        </is>
      </c>
      <c r="G7" s="8" t="inlineStr">
        <is>
          <t>SISTEMA-WEB</t>
        </is>
      </c>
      <c r="H7" s="9">
        <f>SUMIF('Nivel Detalle de Item'!B:B, A7, 'Nivel Detalle de Item'!K:K)+SUMIF('Nivel Detalle de Item'!B:B, A7, 'Nivel Detalle de Item'!J:J)</f>
        <v/>
      </c>
      <c r="I7" s="9">
        <f>SUMIF('Nivel Detalle de Item'!B:B, A7, 'Nivel Detalle de Item'!J:J)</f>
        <v/>
      </c>
      <c r="J7" s="9">
        <f>(H7-I7)*0.21</f>
        <v/>
      </c>
      <c r="K7" s="9">
        <f>(H7-I7)+J7</f>
        <v/>
      </c>
      <c r="L7" s="9">
        <f>SUMIF('Nivel Detalle de Item'!B:B, A7, 'Nivel Detalle de Item'!L:L)</f>
        <v/>
      </c>
      <c r="M7" s="9">
        <f>(H7-I7)-L7</f>
        <v/>
      </c>
    </row>
    <row r="8">
      <c r="A8" s="2" t="inlineStr">
        <is>
          <t>TXN-20260801-007</t>
        </is>
      </c>
      <c r="B8" s="3" t="n">
        <v>46235.42409722223</v>
      </c>
      <c r="C8" s="4" t="inlineStr">
        <is>
          <t>SUC-002 Norte</t>
        </is>
      </c>
      <c r="D8" s="4" t="inlineStr">
        <is>
          <t>Venta Telefónica</t>
        </is>
      </c>
      <c r="E8" s="2" t="inlineStr">
        <is>
          <t>CLI-3321</t>
        </is>
      </c>
      <c r="F8" s="4" t="inlineStr">
        <is>
          <t>Efectivo</t>
        </is>
      </c>
      <c r="G8" s="4" t="inlineStr">
        <is>
          <t>VEN-102 (María Gómez)</t>
        </is>
      </c>
      <c r="H8" s="5">
        <f>SUMIF('Nivel Detalle de Item'!B:B, A8, 'Nivel Detalle de Item'!K:K)+SUMIF('Nivel Detalle de Item'!B:B, A8, 'Nivel Detalle de Item'!J:J)</f>
        <v/>
      </c>
      <c r="I8" s="5">
        <f>SUMIF('Nivel Detalle de Item'!B:B, A8, 'Nivel Detalle de Item'!J:J)</f>
        <v/>
      </c>
      <c r="J8" s="5">
        <f>(H8-I8)*0.21</f>
        <v/>
      </c>
      <c r="K8" s="5">
        <f>(H8-I8)+J8</f>
        <v/>
      </c>
      <c r="L8" s="5">
        <f>SUMIF('Nivel Detalle de Item'!B:B, A8, 'Nivel Detalle de Item'!L:L)</f>
        <v/>
      </c>
      <c r="M8" s="5">
        <f>(H8-I8)-L8</f>
        <v/>
      </c>
    </row>
    <row r="9">
      <c r="A9" s="6" t="inlineStr">
        <is>
          <t>TXN-20260801-008</t>
        </is>
      </c>
      <c r="B9" s="7" t="n">
        <v>46235.61262731482</v>
      </c>
      <c r="C9" s="8" t="inlineStr">
        <is>
          <t>SUC-003 E-Commerce</t>
        </is>
      </c>
      <c r="D9" s="8" t="inlineStr">
        <is>
          <t>E-Commerce</t>
        </is>
      </c>
      <c r="E9" s="6" t="inlineStr">
        <is>
          <t>CLI-5594</t>
        </is>
      </c>
      <c r="F9" s="8" t="inlineStr">
        <is>
          <t>Transferencia</t>
        </is>
      </c>
      <c r="G9" s="8" t="inlineStr">
        <is>
          <t>SISTEMA-WEB</t>
        </is>
      </c>
      <c r="H9" s="9">
        <f>SUMIF('Nivel Detalle de Item'!B:B, A9, 'Nivel Detalle de Item'!K:K)+SUMIF('Nivel Detalle de Item'!B:B, A9, 'Nivel Detalle de Item'!J:J)</f>
        <v/>
      </c>
      <c r="I9" s="9">
        <f>SUMIF('Nivel Detalle de Item'!B:B, A9, 'Nivel Detalle de Item'!J:J)</f>
        <v/>
      </c>
      <c r="J9" s="9">
        <f>(H9-I9)*0.21</f>
        <v/>
      </c>
      <c r="K9" s="9">
        <f>(H9-I9)+J9</f>
        <v/>
      </c>
      <c r="L9" s="9">
        <f>SUMIF('Nivel Detalle de Item'!B:B, A9, 'Nivel Detalle de Item'!L:L)</f>
        <v/>
      </c>
      <c r="M9" s="9">
        <f>(H9-I9)-L9</f>
        <v/>
      </c>
    </row>
    <row r="10">
      <c r="A10" s="2" t="inlineStr">
        <is>
          <t>TXN-20260801-009</t>
        </is>
      </c>
      <c r="B10" s="3" t="n">
        <v>46235.41</v>
      </c>
      <c r="C10" s="4" t="inlineStr">
        <is>
          <t>SUC-003 E-Commerce</t>
        </is>
      </c>
      <c r="D10" s="4" t="inlineStr">
        <is>
          <t>E-Commerce</t>
        </is>
      </c>
      <c r="E10" s="2" t="inlineStr">
        <is>
          <t>CLI-6724</t>
        </is>
      </c>
      <c r="F10" s="4" t="inlineStr">
        <is>
          <t>Transferencia</t>
        </is>
      </c>
      <c r="G10" s="4" t="inlineStr">
        <is>
          <t>SISTEMA-WEB</t>
        </is>
      </c>
      <c r="H10" s="5">
        <f>SUMIF('Nivel Detalle de Item'!B:B, A10, 'Nivel Detalle de Item'!K:K)+SUMIF('Nivel Detalle de Item'!B:B, A10, 'Nivel Detalle de Item'!J:J)</f>
        <v/>
      </c>
      <c r="I10" s="5">
        <f>SUMIF('Nivel Detalle de Item'!B:B, A10, 'Nivel Detalle de Item'!J:J)</f>
        <v/>
      </c>
      <c r="J10" s="5">
        <f>(H10-I10)*0.21</f>
        <v/>
      </c>
      <c r="K10" s="5">
        <f>(H10-I10)+J10</f>
        <v/>
      </c>
      <c r="L10" s="5">
        <f>SUMIF('Nivel Detalle de Item'!B:B, A10, 'Nivel Detalle de Item'!L:L)</f>
        <v/>
      </c>
      <c r="M10" s="5">
        <f>(H10-I10)-L10</f>
        <v/>
      </c>
    </row>
    <row r="11">
      <c r="A11" s="6" t="inlineStr">
        <is>
          <t>TXN-20260801-010</t>
        </is>
      </c>
      <c r="B11" s="7" t="n">
        <v>46235.63028935185</v>
      </c>
      <c r="C11" s="8" t="inlineStr">
        <is>
          <t>SUC-001 Centro</t>
        </is>
      </c>
      <c r="D11" s="8" t="inlineStr">
        <is>
          <t>Tienda Física</t>
        </is>
      </c>
      <c r="E11" s="6" t="inlineStr">
        <is>
          <t>CLI-3810</t>
        </is>
      </c>
      <c r="F11" s="8" t="inlineStr">
        <is>
          <t>Tarjeta Crédito</t>
        </is>
      </c>
      <c r="G11" s="8" t="inlineStr">
        <is>
          <t>VEN-101 (Juan Pérez)</t>
        </is>
      </c>
      <c r="H11" s="9">
        <f>SUMIF('Nivel Detalle de Item'!B:B, A11, 'Nivel Detalle de Item'!K:K)+SUMIF('Nivel Detalle de Item'!B:B, A11, 'Nivel Detalle de Item'!J:J)</f>
        <v/>
      </c>
      <c r="I11" s="9">
        <f>SUMIF('Nivel Detalle de Item'!B:B, A11, 'Nivel Detalle de Item'!J:J)</f>
        <v/>
      </c>
      <c r="J11" s="9">
        <f>(H11-I11)*0.21</f>
        <v/>
      </c>
      <c r="K11" s="9">
        <f>(H11-I11)+J11</f>
        <v/>
      </c>
      <c r="L11" s="9">
        <f>SUMIF('Nivel Detalle de Item'!B:B, A11, 'Nivel Detalle de Item'!L:L)</f>
        <v/>
      </c>
      <c r="M11" s="9">
        <f>(H11-I11)-L11</f>
        <v/>
      </c>
    </row>
    <row r="12">
      <c r="A12" s="2" t="inlineStr">
        <is>
          <t>TXN-20260801-011</t>
        </is>
      </c>
      <c r="B12" s="3" t="n">
        <v>46235.74013888889</v>
      </c>
      <c r="C12" s="4" t="inlineStr">
        <is>
          <t>SUC-003 E-Commerce</t>
        </is>
      </c>
      <c r="D12" s="4" t="inlineStr">
        <is>
          <t>E-Commerce</t>
        </is>
      </c>
      <c r="E12" s="2" t="inlineStr">
        <is>
          <t>CLI-9996</t>
        </is>
      </c>
      <c r="F12" s="4" t="inlineStr">
        <is>
          <t>Tarjeta Crédito</t>
        </is>
      </c>
      <c r="G12" s="4" t="inlineStr">
        <is>
          <t>SISTEMA-WEB</t>
        </is>
      </c>
      <c r="H12" s="5">
        <f>SUMIF('Nivel Detalle de Item'!B:B, A12, 'Nivel Detalle de Item'!K:K)+SUMIF('Nivel Detalle de Item'!B:B, A12, 'Nivel Detalle de Item'!J:J)</f>
        <v/>
      </c>
      <c r="I12" s="5">
        <f>SUMIF('Nivel Detalle de Item'!B:B, A12, 'Nivel Detalle de Item'!J:J)</f>
        <v/>
      </c>
      <c r="J12" s="5">
        <f>(H12-I12)*0.21</f>
        <v/>
      </c>
      <c r="K12" s="5">
        <f>(H12-I12)+J12</f>
        <v/>
      </c>
      <c r="L12" s="5">
        <f>SUMIF('Nivel Detalle de Item'!B:B, A12, 'Nivel Detalle de Item'!L:L)</f>
        <v/>
      </c>
      <c r="M12" s="5">
        <f>(H12-I12)-L12</f>
        <v/>
      </c>
    </row>
    <row r="13">
      <c r="A13" s="6" t="inlineStr">
        <is>
          <t>TXN-20260801-012</t>
        </is>
      </c>
      <c r="B13" s="7" t="n">
        <v>46235.78456018519</v>
      </c>
      <c r="C13" s="8" t="inlineStr">
        <is>
          <t>SUC-001 Centro</t>
        </is>
      </c>
      <c r="D13" s="8" t="inlineStr">
        <is>
          <t>Tienda Física</t>
        </is>
      </c>
      <c r="E13" s="6" t="inlineStr">
        <is>
          <t>CLI-2673</t>
        </is>
      </c>
      <c r="F13" s="8" t="inlineStr">
        <is>
          <t>Transferencia</t>
        </is>
      </c>
      <c r="G13" s="8" t="inlineStr">
        <is>
          <t>VEN-101 (Juan Pérez)</t>
        </is>
      </c>
      <c r="H13" s="9">
        <f>SUMIF('Nivel Detalle de Item'!B:B, A13, 'Nivel Detalle de Item'!K:K)+SUMIF('Nivel Detalle de Item'!B:B, A13, 'Nivel Detalle de Item'!J:J)</f>
        <v/>
      </c>
      <c r="I13" s="9">
        <f>SUMIF('Nivel Detalle de Item'!B:B, A13, 'Nivel Detalle de Item'!J:J)</f>
        <v/>
      </c>
      <c r="J13" s="9">
        <f>(H13-I13)*0.21</f>
        <v/>
      </c>
      <c r="K13" s="9">
        <f>(H13-I13)+J13</f>
        <v/>
      </c>
      <c r="L13" s="9">
        <f>SUMIF('Nivel Detalle de Item'!B:B, A13, 'Nivel Detalle de Item'!L:L)</f>
        <v/>
      </c>
      <c r="M13" s="9">
        <f>(H13-I13)-L13</f>
        <v/>
      </c>
    </row>
    <row r="14">
      <c r="A14" s="2" t="inlineStr">
        <is>
          <t>TXN-20260801-013</t>
        </is>
      </c>
      <c r="B14" s="3" t="n">
        <v>46235.40232638889</v>
      </c>
      <c r="C14" s="4" t="inlineStr">
        <is>
          <t>SUC-001 Centro</t>
        </is>
      </c>
      <c r="D14" s="4" t="inlineStr">
        <is>
          <t>Venta Telefónica</t>
        </is>
      </c>
      <c r="E14" s="2" t="inlineStr">
        <is>
          <t>CLI-5249</t>
        </is>
      </c>
      <c r="F14" s="4" t="inlineStr">
        <is>
          <t>Efectivo</t>
        </is>
      </c>
      <c r="G14" s="4" t="inlineStr">
        <is>
          <t>VEN-102 (María Gómez)</t>
        </is>
      </c>
      <c r="H14" s="5">
        <f>SUMIF('Nivel Detalle de Item'!B:B, A14, 'Nivel Detalle de Item'!K:K)+SUMIF('Nivel Detalle de Item'!B:B, A14, 'Nivel Detalle de Item'!J:J)</f>
        <v/>
      </c>
      <c r="I14" s="5">
        <f>SUMIF('Nivel Detalle de Item'!B:B, A14, 'Nivel Detalle de Item'!J:J)</f>
        <v/>
      </c>
      <c r="J14" s="5">
        <f>(H14-I14)*0.21</f>
        <v/>
      </c>
      <c r="K14" s="5">
        <f>(H14-I14)+J14</f>
        <v/>
      </c>
      <c r="L14" s="5">
        <f>SUMIF('Nivel Detalle de Item'!B:B, A14, 'Nivel Detalle de Item'!L:L)</f>
        <v/>
      </c>
      <c r="M14" s="5">
        <f>(H14-I14)-L14</f>
        <v/>
      </c>
    </row>
    <row r="15">
      <c r="A15" s="6" t="inlineStr">
        <is>
          <t>TXN-20260801-014</t>
        </is>
      </c>
      <c r="B15" s="7" t="n">
        <v>46235.41939814815</v>
      </c>
      <c r="C15" s="8" t="inlineStr">
        <is>
          <t>SUC-003 E-Commerce</t>
        </is>
      </c>
      <c r="D15" s="8" t="inlineStr">
        <is>
          <t>E-Commerce</t>
        </is>
      </c>
      <c r="E15" s="6" t="inlineStr">
        <is>
          <t>CLI-7367</t>
        </is>
      </c>
      <c r="F15" s="8" t="inlineStr">
        <is>
          <t>Tarjeta Crédito</t>
        </is>
      </c>
      <c r="G15" s="8" t="inlineStr">
        <is>
          <t>SISTEMA-WEB</t>
        </is>
      </c>
      <c r="H15" s="9">
        <f>SUMIF('Nivel Detalle de Item'!B:B, A15, 'Nivel Detalle de Item'!K:K)+SUMIF('Nivel Detalle de Item'!B:B, A15, 'Nivel Detalle de Item'!J:J)</f>
        <v/>
      </c>
      <c r="I15" s="9">
        <f>SUMIF('Nivel Detalle de Item'!B:B, A15, 'Nivel Detalle de Item'!J:J)</f>
        <v/>
      </c>
      <c r="J15" s="9">
        <f>(H15-I15)*0.21</f>
        <v/>
      </c>
      <c r="K15" s="9">
        <f>(H15-I15)+J15</f>
        <v/>
      </c>
      <c r="L15" s="9">
        <f>SUMIF('Nivel Detalle de Item'!B:B, A15, 'Nivel Detalle de Item'!L:L)</f>
        <v/>
      </c>
      <c r="M15" s="9">
        <f>(H15-I15)-L15</f>
        <v/>
      </c>
    </row>
    <row r="16">
      <c r="A16" s="2" t="inlineStr">
        <is>
          <t>TXN-20260801-015</t>
        </is>
      </c>
      <c r="B16" s="3" t="n">
        <v>46235.49405092592</v>
      </c>
      <c r="C16" s="4" t="inlineStr">
        <is>
          <t>SUC-001 Centro</t>
        </is>
      </c>
      <c r="D16" s="4" t="inlineStr">
        <is>
          <t>Tienda Física</t>
        </is>
      </c>
      <c r="E16" s="2" t="inlineStr">
        <is>
          <t>CLI-4140</t>
        </is>
      </c>
      <c r="F16" s="4" t="inlineStr">
        <is>
          <t>Tarjeta Crédito</t>
        </is>
      </c>
      <c r="G16" s="4" t="inlineStr">
        <is>
          <t>VEN-103 (Carlos Ruiz)</t>
        </is>
      </c>
      <c r="H16" s="5">
        <f>SUMIF('Nivel Detalle de Item'!B:B, A16, 'Nivel Detalle de Item'!K:K)+SUMIF('Nivel Detalle de Item'!B:B, A16, 'Nivel Detalle de Item'!J:J)</f>
        <v/>
      </c>
      <c r="I16" s="5">
        <f>SUMIF('Nivel Detalle de Item'!B:B, A16, 'Nivel Detalle de Item'!J:J)</f>
        <v/>
      </c>
      <c r="J16" s="5">
        <f>(H16-I16)*0.21</f>
        <v/>
      </c>
      <c r="K16" s="5">
        <f>(H16-I16)+J16</f>
        <v/>
      </c>
      <c r="L16" s="5">
        <f>SUMIF('Nivel Detalle de Item'!B:B, A16, 'Nivel Detalle de Item'!L:L)</f>
        <v/>
      </c>
      <c r="M16" s="5">
        <f>(H16-I16)-L16</f>
        <v/>
      </c>
    </row>
    <row r="17">
      <c r="A17" s="6" t="inlineStr">
        <is>
          <t>TXN-20260801-016</t>
        </is>
      </c>
      <c r="B17" s="7" t="n">
        <v>46235.85112268518</v>
      </c>
      <c r="C17" s="8" t="inlineStr">
        <is>
          <t>SUC-002 Norte</t>
        </is>
      </c>
      <c r="D17" s="8" t="inlineStr">
        <is>
          <t>Tienda Física</t>
        </is>
      </c>
      <c r="E17" s="6" t="inlineStr">
        <is>
          <t>CLI-7170</t>
        </is>
      </c>
      <c r="F17" s="8" t="inlineStr">
        <is>
          <t>Tarjeta Crédito</t>
        </is>
      </c>
      <c r="G17" s="8" t="inlineStr">
        <is>
          <t>VEN-103 (Carlos Ruiz)</t>
        </is>
      </c>
      <c r="H17" s="9">
        <f>SUMIF('Nivel Detalle de Item'!B:B, A17, 'Nivel Detalle de Item'!K:K)+SUMIF('Nivel Detalle de Item'!B:B, A17, 'Nivel Detalle de Item'!J:J)</f>
        <v/>
      </c>
      <c r="I17" s="9">
        <f>SUMIF('Nivel Detalle de Item'!B:B, A17, 'Nivel Detalle de Item'!J:J)</f>
        <v/>
      </c>
      <c r="J17" s="9">
        <f>(H17-I17)*0.21</f>
        <v/>
      </c>
      <c r="K17" s="9">
        <f>(H17-I17)+J17</f>
        <v/>
      </c>
      <c r="L17" s="9">
        <f>SUMIF('Nivel Detalle de Item'!B:B, A17, 'Nivel Detalle de Item'!L:L)</f>
        <v/>
      </c>
      <c r="M17" s="9">
        <f>(H17-I17)-L17</f>
        <v/>
      </c>
    </row>
    <row r="18">
      <c r="A18" s="2" t="inlineStr">
        <is>
          <t>TXN-20260801-017</t>
        </is>
      </c>
      <c r="B18" s="3" t="n">
        <v>46235.37663194445</v>
      </c>
      <c r="C18" s="4" t="inlineStr">
        <is>
          <t>SUC-003 E-Commerce</t>
        </is>
      </c>
      <c r="D18" s="4" t="inlineStr">
        <is>
          <t>E-Commerce</t>
        </is>
      </c>
      <c r="E18" s="2" t="inlineStr">
        <is>
          <t>CLI-5922</t>
        </is>
      </c>
      <c r="F18" s="4" t="inlineStr">
        <is>
          <t>Efectivo</t>
        </is>
      </c>
      <c r="G18" s="4" t="inlineStr">
        <is>
          <t>SISTEMA-WEB</t>
        </is>
      </c>
      <c r="H18" s="5">
        <f>SUMIF('Nivel Detalle de Item'!B:B, A18, 'Nivel Detalle de Item'!K:K)+SUMIF('Nivel Detalle de Item'!B:B, A18, 'Nivel Detalle de Item'!J:J)</f>
        <v/>
      </c>
      <c r="I18" s="5">
        <f>SUMIF('Nivel Detalle de Item'!B:B, A18, 'Nivel Detalle de Item'!J:J)</f>
        <v/>
      </c>
      <c r="J18" s="5">
        <f>(H18-I18)*0.21</f>
        <v/>
      </c>
      <c r="K18" s="5">
        <f>(H18-I18)+J18</f>
        <v/>
      </c>
      <c r="L18" s="5">
        <f>SUMIF('Nivel Detalle de Item'!B:B, A18, 'Nivel Detalle de Item'!L:L)</f>
        <v/>
      </c>
      <c r="M18" s="5">
        <f>(H18-I18)-L18</f>
        <v/>
      </c>
    </row>
    <row r="19">
      <c r="A19" s="6" t="inlineStr">
        <is>
          <t>TXN-20260801-018</t>
        </is>
      </c>
      <c r="B19" s="7" t="n">
        <v>46235.84212962963</v>
      </c>
      <c r="C19" s="8" t="inlineStr">
        <is>
          <t>SUC-001 Centro</t>
        </is>
      </c>
      <c r="D19" s="8" t="inlineStr">
        <is>
          <t>Venta Telefónica</t>
        </is>
      </c>
      <c r="E19" s="6" t="inlineStr">
        <is>
          <t>CLI-9004</t>
        </is>
      </c>
      <c r="F19" s="8" t="inlineStr">
        <is>
          <t>Tarjeta Débito</t>
        </is>
      </c>
      <c r="G19" s="8" t="inlineStr">
        <is>
          <t>VEN-102 (María Gómez)</t>
        </is>
      </c>
      <c r="H19" s="9">
        <f>SUMIF('Nivel Detalle de Item'!B:B, A19, 'Nivel Detalle de Item'!K:K)+SUMIF('Nivel Detalle de Item'!B:B, A19, 'Nivel Detalle de Item'!J:J)</f>
        <v/>
      </c>
      <c r="I19" s="9">
        <f>SUMIF('Nivel Detalle de Item'!B:B, A19, 'Nivel Detalle de Item'!J:J)</f>
        <v/>
      </c>
      <c r="J19" s="9">
        <f>(H19-I19)*0.21</f>
        <v/>
      </c>
      <c r="K19" s="9">
        <f>(H19-I19)+J19</f>
        <v/>
      </c>
      <c r="L19" s="9">
        <f>SUMIF('Nivel Detalle de Item'!B:B, A19, 'Nivel Detalle de Item'!L:L)</f>
        <v/>
      </c>
      <c r="M19" s="9">
        <f>(H19-I19)-L19</f>
        <v/>
      </c>
    </row>
    <row r="20">
      <c r="A20" s="2" t="inlineStr">
        <is>
          <t>TXN-20260801-019</t>
        </is>
      </c>
      <c r="B20" s="3" t="n">
        <v>46235.64546296297</v>
      </c>
      <c r="C20" s="4" t="inlineStr">
        <is>
          <t>SUC-003 E-Commerce</t>
        </is>
      </c>
      <c r="D20" s="4" t="inlineStr">
        <is>
          <t>E-Commerce</t>
        </is>
      </c>
      <c r="E20" s="2" t="inlineStr">
        <is>
          <t>CLI-2179</t>
        </is>
      </c>
      <c r="F20" s="4" t="inlineStr">
        <is>
          <t>Tarjeta Crédito</t>
        </is>
      </c>
      <c r="G20" s="4" t="inlineStr">
        <is>
          <t>SISTEMA-WEB</t>
        </is>
      </c>
      <c r="H20" s="5">
        <f>SUMIF('Nivel Detalle de Item'!B:B, A20, 'Nivel Detalle de Item'!K:K)+SUMIF('Nivel Detalle de Item'!B:B, A20, 'Nivel Detalle de Item'!J:J)</f>
        <v/>
      </c>
      <c r="I20" s="5">
        <f>SUMIF('Nivel Detalle de Item'!B:B, A20, 'Nivel Detalle de Item'!J:J)</f>
        <v/>
      </c>
      <c r="J20" s="5">
        <f>(H20-I20)*0.21</f>
        <v/>
      </c>
      <c r="K20" s="5">
        <f>(H20-I20)+J20</f>
        <v/>
      </c>
      <c r="L20" s="5">
        <f>SUMIF('Nivel Detalle de Item'!B:B, A20, 'Nivel Detalle de Item'!L:L)</f>
        <v/>
      </c>
      <c r="M20" s="5">
        <f>(H20-I20)-L20</f>
        <v/>
      </c>
    </row>
    <row r="21">
      <c r="A21" s="6" t="inlineStr">
        <is>
          <t>TXN-20260801-020</t>
        </is>
      </c>
      <c r="B21" s="7" t="n">
        <v>46235.62097222222</v>
      </c>
      <c r="C21" s="8" t="inlineStr">
        <is>
          <t>SUC-001 Centro</t>
        </is>
      </c>
      <c r="D21" s="8" t="inlineStr">
        <is>
          <t>Venta Telefónica</t>
        </is>
      </c>
      <c r="E21" s="6" t="inlineStr">
        <is>
          <t>CLI-2308</t>
        </is>
      </c>
      <c r="F21" s="8" t="inlineStr">
        <is>
          <t>Tarjeta Crédito</t>
        </is>
      </c>
      <c r="G21" s="8" t="inlineStr">
        <is>
          <t>VEN-104 (Ana López)</t>
        </is>
      </c>
      <c r="H21" s="9">
        <f>SUMIF('Nivel Detalle de Item'!B:B, A21, 'Nivel Detalle de Item'!K:K)+SUMIF('Nivel Detalle de Item'!B:B, A21, 'Nivel Detalle de Item'!J:J)</f>
        <v/>
      </c>
      <c r="I21" s="9">
        <f>SUMIF('Nivel Detalle de Item'!B:B, A21, 'Nivel Detalle de Item'!J:J)</f>
        <v/>
      </c>
      <c r="J21" s="9">
        <f>(H21-I21)*0.21</f>
        <v/>
      </c>
      <c r="K21" s="9">
        <f>(H21-I21)+J21</f>
        <v/>
      </c>
      <c r="L21" s="9">
        <f>SUMIF('Nivel Detalle de Item'!B:B, A21, 'Nivel Detalle de Item'!L:L)</f>
        <v/>
      </c>
      <c r="M21" s="9">
        <f>(H21-I21)-L21</f>
        <v/>
      </c>
    </row>
    <row r="22">
      <c r="A22" s="2" t="inlineStr">
        <is>
          <t>TXN-20260801-021</t>
        </is>
      </c>
      <c r="B22" s="3" t="n">
        <v>46235.389375</v>
      </c>
      <c r="C22" s="4" t="inlineStr">
        <is>
          <t>SUC-001 Centro</t>
        </is>
      </c>
      <c r="D22" s="4" t="inlineStr">
        <is>
          <t>Venta Telefónica</t>
        </is>
      </c>
      <c r="E22" s="2" t="inlineStr">
        <is>
          <t>CLI-8350</t>
        </is>
      </c>
      <c r="F22" s="4" t="inlineStr">
        <is>
          <t>Tarjeta Débito</t>
        </is>
      </c>
      <c r="G22" s="4" t="inlineStr">
        <is>
          <t>VEN-101 (Juan Pérez)</t>
        </is>
      </c>
      <c r="H22" s="5">
        <f>SUMIF('Nivel Detalle de Item'!B:B, A22, 'Nivel Detalle de Item'!K:K)+SUMIF('Nivel Detalle de Item'!B:B, A22, 'Nivel Detalle de Item'!J:J)</f>
        <v/>
      </c>
      <c r="I22" s="5">
        <f>SUMIF('Nivel Detalle de Item'!B:B, A22, 'Nivel Detalle de Item'!J:J)</f>
        <v/>
      </c>
      <c r="J22" s="5">
        <f>(H22-I22)*0.21</f>
        <v/>
      </c>
      <c r="K22" s="5">
        <f>(H22-I22)+J22</f>
        <v/>
      </c>
      <c r="L22" s="5">
        <f>SUMIF('Nivel Detalle de Item'!B:B, A22, 'Nivel Detalle de Item'!L:L)</f>
        <v/>
      </c>
      <c r="M22" s="5">
        <f>(H22-I22)-L22</f>
        <v/>
      </c>
    </row>
    <row r="23">
      <c r="A23" s="6" t="inlineStr">
        <is>
          <t>TXN-20260801-022</t>
        </is>
      </c>
      <c r="B23" s="7" t="n">
        <v>46235.39976851852</v>
      </c>
      <c r="C23" s="8" t="inlineStr">
        <is>
          <t>SUC-003 E-Commerce</t>
        </is>
      </c>
      <c r="D23" s="8" t="inlineStr">
        <is>
          <t>E-Commerce</t>
        </is>
      </c>
      <c r="E23" s="6" t="inlineStr">
        <is>
          <t>CLI-8162</t>
        </is>
      </c>
      <c r="F23" s="8" t="inlineStr">
        <is>
          <t>Tarjeta Débito</t>
        </is>
      </c>
      <c r="G23" s="8" t="inlineStr">
        <is>
          <t>SISTEMA-WEB</t>
        </is>
      </c>
      <c r="H23" s="9">
        <f>SUMIF('Nivel Detalle de Item'!B:B, A23, 'Nivel Detalle de Item'!K:K)+SUMIF('Nivel Detalle de Item'!B:B, A23, 'Nivel Detalle de Item'!J:J)</f>
        <v/>
      </c>
      <c r="I23" s="9">
        <f>SUMIF('Nivel Detalle de Item'!B:B, A23, 'Nivel Detalle de Item'!J:J)</f>
        <v/>
      </c>
      <c r="J23" s="9">
        <f>(H23-I23)*0.21</f>
        <v/>
      </c>
      <c r="K23" s="9">
        <f>(H23-I23)+J23</f>
        <v/>
      </c>
      <c r="L23" s="9">
        <f>SUMIF('Nivel Detalle de Item'!B:B, A23, 'Nivel Detalle de Item'!L:L)</f>
        <v/>
      </c>
      <c r="M23" s="9">
        <f>(H23-I23)-L23</f>
        <v/>
      </c>
    </row>
    <row r="24">
      <c r="A24" s="2" t="inlineStr">
        <is>
          <t>TXN-20260801-023</t>
        </is>
      </c>
      <c r="B24" s="3" t="n">
        <v>46235.82173611111</v>
      </c>
      <c r="C24" s="4" t="inlineStr">
        <is>
          <t>SUC-003 E-Commerce</t>
        </is>
      </c>
      <c r="D24" s="4" t="inlineStr">
        <is>
          <t>E-Commerce</t>
        </is>
      </c>
      <c r="E24" s="2" t="inlineStr">
        <is>
          <t>CLI-5822</t>
        </is>
      </c>
      <c r="F24" s="4" t="inlineStr">
        <is>
          <t>Transferencia</t>
        </is>
      </c>
      <c r="G24" s="4" t="inlineStr">
        <is>
          <t>SISTEMA-WEB</t>
        </is>
      </c>
      <c r="H24" s="5">
        <f>SUMIF('Nivel Detalle de Item'!B:B, A24, 'Nivel Detalle de Item'!K:K)+SUMIF('Nivel Detalle de Item'!B:B, A24, 'Nivel Detalle de Item'!J:J)</f>
        <v/>
      </c>
      <c r="I24" s="5">
        <f>SUMIF('Nivel Detalle de Item'!B:B, A24, 'Nivel Detalle de Item'!J:J)</f>
        <v/>
      </c>
      <c r="J24" s="5">
        <f>(H24-I24)*0.21</f>
        <v/>
      </c>
      <c r="K24" s="5">
        <f>(H24-I24)+J24</f>
        <v/>
      </c>
      <c r="L24" s="5">
        <f>SUMIF('Nivel Detalle de Item'!B:B, A24, 'Nivel Detalle de Item'!L:L)</f>
        <v/>
      </c>
      <c r="M24" s="5">
        <f>(H24-I24)-L24</f>
        <v/>
      </c>
    </row>
    <row r="25">
      <c r="A25" s="6" t="inlineStr">
        <is>
          <t>TXN-20260801-024</t>
        </is>
      </c>
      <c r="B25" s="7" t="n">
        <v>46235.57828703704</v>
      </c>
      <c r="C25" s="8" t="inlineStr">
        <is>
          <t>SUC-003 E-Commerce</t>
        </is>
      </c>
      <c r="D25" s="8" t="inlineStr">
        <is>
          <t>E-Commerce</t>
        </is>
      </c>
      <c r="E25" s="6" t="inlineStr">
        <is>
          <t>CLI-7957</t>
        </is>
      </c>
      <c r="F25" s="8" t="inlineStr">
        <is>
          <t>Efectivo</t>
        </is>
      </c>
      <c r="G25" s="8" t="inlineStr">
        <is>
          <t>SISTEMA-WEB</t>
        </is>
      </c>
      <c r="H25" s="9">
        <f>SUMIF('Nivel Detalle de Item'!B:B, A25, 'Nivel Detalle de Item'!K:K)+SUMIF('Nivel Detalle de Item'!B:B, A25, 'Nivel Detalle de Item'!J:J)</f>
        <v/>
      </c>
      <c r="I25" s="9">
        <f>SUMIF('Nivel Detalle de Item'!B:B, A25, 'Nivel Detalle de Item'!J:J)</f>
        <v/>
      </c>
      <c r="J25" s="9">
        <f>(H25-I25)*0.21</f>
        <v/>
      </c>
      <c r="K25" s="9">
        <f>(H25-I25)+J25</f>
        <v/>
      </c>
      <c r="L25" s="9">
        <f>SUMIF('Nivel Detalle de Item'!B:B, A25, 'Nivel Detalle de Item'!L:L)</f>
        <v/>
      </c>
      <c r="M25" s="9">
        <f>(H25-I25)-L25</f>
        <v/>
      </c>
    </row>
    <row r="26">
      <c r="A26" s="2" t="inlineStr">
        <is>
          <t>TXN-20260801-025</t>
        </is>
      </c>
      <c r="B26" s="3" t="n">
        <v>46235.83327546297</v>
      </c>
      <c r="C26" s="4" t="inlineStr">
        <is>
          <t>SUC-001 Centro</t>
        </is>
      </c>
      <c r="D26" s="4" t="inlineStr">
        <is>
          <t>Tienda Física</t>
        </is>
      </c>
      <c r="E26" s="2" t="inlineStr">
        <is>
          <t>CLI-9449</t>
        </is>
      </c>
      <c r="F26" s="4" t="inlineStr">
        <is>
          <t>Efectivo</t>
        </is>
      </c>
      <c r="G26" s="4" t="inlineStr">
        <is>
          <t>VEN-102 (María Gómez)</t>
        </is>
      </c>
      <c r="H26" s="5">
        <f>SUMIF('Nivel Detalle de Item'!B:B, A26, 'Nivel Detalle de Item'!K:K)+SUMIF('Nivel Detalle de Item'!B:B, A26, 'Nivel Detalle de Item'!J:J)</f>
        <v/>
      </c>
      <c r="I26" s="5">
        <f>SUMIF('Nivel Detalle de Item'!B:B, A26, 'Nivel Detalle de Item'!J:J)</f>
        <v/>
      </c>
      <c r="J26" s="5">
        <f>(H26-I26)*0.21</f>
        <v/>
      </c>
      <c r="K26" s="5">
        <f>(H26-I26)+J26</f>
        <v/>
      </c>
      <c r="L26" s="5">
        <f>SUMIF('Nivel Detalle de Item'!B:B, A26, 'Nivel Detalle de Item'!L:L)</f>
        <v/>
      </c>
      <c r="M26" s="5">
        <f>(H26-I26)-L26</f>
        <v/>
      </c>
    </row>
    <row r="27">
      <c r="A27" s="6" t="inlineStr">
        <is>
          <t>TXN-20260801-026</t>
        </is>
      </c>
      <c r="B27" s="7" t="n">
        <v>46235.86012731482</v>
      </c>
      <c r="C27" s="8" t="inlineStr">
        <is>
          <t>SUC-002 Norte</t>
        </is>
      </c>
      <c r="D27" s="8" t="inlineStr">
        <is>
          <t>Venta Telefónica</t>
        </is>
      </c>
      <c r="E27" s="6" t="inlineStr">
        <is>
          <t>CLI-4930</t>
        </is>
      </c>
      <c r="F27" s="8" t="inlineStr">
        <is>
          <t>Transferencia</t>
        </is>
      </c>
      <c r="G27" s="8" t="inlineStr">
        <is>
          <t>VEN-102 (María Gómez)</t>
        </is>
      </c>
      <c r="H27" s="9">
        <f>SUMIF('Nivel Detalle de Item'!B:B, A27, 'Nivel Detalle de Item'!K:K)+SUMIF('Nivel Detalle de Item'!B:B, A27, 'Nivel Detalle de Item'!J:J)</f>
        <v/>
      </c>
      <c r="I27" s="9">
        <f>SUMIF('Nivel Detalle de Item'!B:B, A27, 'Nivel Detalle de Item'!J:J)</f>
        <v/>
      </c>
      <c r="J27" s="9">
        <f>(H27-I27)*0.21</f>
        <v/>
      </c>
      <c r="K27" s="9">
        <f>(H27-I27)+J27</f>
        <v/>
      </c>
      <c r="L27" s="9">
        <f>SUMIF('Nivel Detalle de Item'!B:B, A27, 'Nivel Detalle de Item'!L:L)</f>
        <v/>
      </c>
      <c r="M27" s="9">
        <f>(H27-I27)-L27</f>
        <v/>
      </c>
    </row>
    <row r="28">
      <c r="A28" s="2" t="inlineStr">
        <is>
          <t>TXN-20260801-027</t>
        </is>
      </c>
      <c r="B28" s="3" t="n">
        <v>46235.48539351852</v>
      </c>
      <c r="C28" s="4" t="inlineStr">
        <is>
          <t>SUC-001 Centro</t>
        </is>
      </c>
      <c r="D28" s="4" t="inlineStr">
        <is>
          <t>Venta Telefónica</t>
        </is>
      </c>
      <c r="E28" s="2" t="inlineStr">
        <is>
          <t>CLI-7633</t>
        </is>
      </c>
      <c r="F28" s="4" t="inlineStr">
        <is>
          <t>Efectivo</t>
        </is>
      </c>
      <c r="G28" s="4" t="inlineStr">
        <is>
          <t>VEN-103 (Carlos Ruiz)</t>
        </is>
      </c>
      <c r="H28" s="5">
        <f>SUMIF('Nivel Detalle de Item'!B:B, A28, 'Nivel Detalle de Item'!K:K)+SUMIF('Nivel Detalle de Item'!B:B, A28, 'Nivel Detalle de Item'!J:J)</f>
        <v/>
      </c>
      <c r="I28" s="5">
        <f>SUMIF('Nivel Detalle de Item'!B:B, A28, 'Nivel Detalle de Item'!J:J)</f>
        <v/>
      </c>
      <c r="J28" s="5">
        <f>(H28-I28)*0.21</f>
        <v/>
      </c>
      <c r="K28" s="5">
        <f>(H28-I28)+J28</f>
        <v/>
      </c>
      <c r="L28" s="5">
        <f>SUMIF('Nivel Detalle de Item'!B:B, A28, 'Nivel Detalle de Item'!L:L)</f>
        <v/>
      </c>
      <c r="M28" s="5">
        <f>(H28-I28)-L28</f>
        <v/>
      </c>
    </row>
    <row r="29">
      <c r="A29" s="6" t="inlineStr">
        <is>
          <t>TXN-20260801-028</t>
        </is>
      </c>
      <c r="B29" s="7" t="n">
        <v>46235.46701388889</v>
      </c>
      <c r="C29" s="8" t="inlineStr">
        <is>
          <t>SUC-001 Centro</t>
        </is>
      </c>
      <c r="D29" s="8" t="inlineStr">
        <is>
          <t>Venta Telefónica</t>
        </is>
      </c>
      <c r="E29" s="6" t="inlineStr">
        <is>
          <t>CLI-8285</t>
        </is>
      </c>
      <c r="F29" s="8" t="inlineStr">
        <is>
          <t>Transferencia</t>
        </is>
      </c>
      <c r="G29" s="8" t="inlineStr">
        <is>
          <t>VEN-102 (María Gómez)</t>
        </is>
      </c>
      <c r="H29" s="9">
        <f>SUMIF('Nivel Detalle de Item'!B:B, A29, 'Nivel Detalle de Item'!K:K)+SUMIF('Nivel Detalle de Item'!B:B, A29, 'Nivel Detalle de Item'!J:J)</f>
        <v/>
      </c>
      <c r="I29" s="9">
        <f>SUMIF('Nivel Detalle de Item'!B:B, A29, 'Nivel Detalle de Item'!J:J)</f>
        <v/>
      </c>
      <c r="J29" s="9">
        <f>(H29-I29)*0.21</f>
        <v/>
      </c>
      <c r="K29" s="9">
        <f>(H29-I29)+J29</f>
        <v/>
      </c>
      <c r="L29" s="9">
        <f>SUMIF('Nivel Detalle de Item'!B:B, A29, 'Nivel Detalle de Item'!L:L)</f>
        <v/>
      </c>
      <c r="M29" s="9">
        <f>(H29-I29)-L29</f>
        <v/>
      </c>
    </row>
    <row r="30">
      <c r="A30" s="2" t="inlineStr">
        <is>
          <t>TXN-20260801-029</t>
        </is>
      </c>
      <c r="B30" s="3" t="n">
        <v>46235.70667824074</v>
      </c>
      <c r="C30" s="4" t="inlineStr">
        <is>
          <t>SUC-002 Norte</t>
        </is>
      </c>
      <c r="D30" s="4" t="inlineStr">
        <is>
          <t>Venta Telefónica</t>
        </is>
      </c>
      <c r="E30" s="2" t="inlineStr">
        <is>
          <t>CLI-2881</t>
        </is>
      </c>
      <c r="F30" s="4" t="inlineStr">
        <is>
          <t>Tarjeta Débito</t>
        </is>
      </c>
      <c r="G30" s="4" t="inlineStr">
        <is>
          <t>VEN-102 (María Gómez)</t>
        </is>
      </c>
      <c r="H30" s="5">
        <f>SUMIF('Nivel Detalle de Item'!B:B, A30, 'Nivel Detalle de Item'!K:K)+SUMIF('Nivel Detalle de Item'!B:B, A30, 'Nivel Detalle de Item'!J:J)</f>
        <v/>
      </c>
      <c r="I30" s="5">
        <f>SUMIF('Nivel Detalle de Item'!B:B, A30, 'Nivel Detalle de Item'!J:J)</f>
        <v/>
      </c>
      <c r="J30" s="5">
        <f>(H30-I30)*0.21</f>
        <v/>
      </c>
      <c r="K30" s="5">
        <f>(H30-I30)+J30</f>
        <v/>
      </c>
      <c r="L30" s="5">
        <f>SUMIF('Nivel Detalle de Item'!B:B, A30, 'Nivel Detalle de Item'!L:L)</f>
        <v/>
      </c>
      <c r="M30" s="5">
        <f>(H30-I30)-L30</f>
        <v/>
      </c>
    </row>
    <row r="31">
      <c r="A31" s="6" t="inlineStr">
        <is>
          <t>TXN-20260801-030</t>
        </is>
      </c>
      <c r="B31" s="7" t="n">
        <v>46235.72859953704</v>
      </c>
      <c r="C31" s="8" t="inlineStr">
        <is>
          <t>SUC-003 E-Commerce</t>
        </is>
      </c>
      <c r="D31" s="8" t="inlineStr">
        <is>
          <t>E-Commerce</t>
        </is>
      </c>
      <c r="E31" s="6" t="inlineStr">
        <is>
          <t>CLI-9612</t>
        </is>
      </c>
      <c r="F31" s="8" t="inlineStr">
        <is>
          <t>Transferencia</t>
        </is>
      </c>
      <c r="G31" s="8" t="inlineStr">
        <is>
          <t>SISTEMA-WEB</t>
        </is>
      </c>
      <c r="H31" s="9">
        <f>SUMIF('Nivel Detalle de Item'!B:B, A31, 'Nivel Detalle de Item'!K:K)+SUMIF('Nivel Detalle de Item'!B:B, A31, 'Nivel Detalle de Item'!J:J)</f>
        <v/>
      </c>
      <c r="I31" s="9">
        <f>SUMIF('Nivel Detalle de Item'!B:B, A31, 'Nivel Detalle de Item'!J:J)</f>
        <v/>
      </c>
      <c r="J31" s="9">
        <f>(H31-I31)*0.21</f>
        <v/>
      </c>
      <c r="K31" s="9">
        <f>(H31-I31)+J31</f>
        <v/>
      </c>
      <c r="L31" s="9">
        <f>SUMIF('Nivel Detalle de Item'!B:B, A31, 'Nivel Detalle de Item'!L:L)</f>
        <v/>
      </c>
      <c r="M31" s="9">
        <f>(H31-I31)-L31</f>
        <v/>
      </c>
    </row>
    <row r="32">
      <c r="A32" s="2" t="inlineStr">
        <is>
          <t>TXN-20260801-031</t>
        </is>
      </c>
      <c r="B32" s="3" t="n">
        <v>46235.44047453703</v>
      </c>
      <c r="C32" s="4" t="inlineStr">
        <is>
          <t>SUC-001 Centro</t>
        </is>
      </c>
      <c r="D32" s="4" t="inlineStr">
        <is>
          <t>Venta Telefónica</t>
        </is>
      </c>
      <c r="E32" s="2" t="inlineStr">
        <is>
          <t>CLI-3041</t>
        </is>
      </c>
      <c r="F32" s="4" t="inlineStr">
        <is>
          <t>Tarjeta Crédito</t>
        </is>
      </c>
      <c r="G32" s="4" t="inlineStr">
        <is>
          <t>VEN-104 (Ana López)</t>
        </is>
      </c>
      <c r="H32" s="5">
        <f>SUMIF('Nivel Detalle de Item'!B:B, A32, 'Nivel Detalle de Item'!K:K)+SUMIF('Nivel Detalle de Item'!B:B, A32, 'Nivel Detalle de Item'!J:J)</f>
        <v/>
      </c>
      <c r="I32" s="5">
        <f>SUMIF('Nivel Detalle de Item'!B:B, A32, 'Nivel Detalle de Item'!J:J)</f>
        <v/>
      </c>
      <c r="J32" s="5">
        <f>(H32-I32)*0.21</f>
        <v/>
      </c>
      <c r="K32" s="5">
        <f>(H32-I32)+J32</f>
        <v/>
      </c>
      <c r="L32" s="5">
        <f>SUMIF('Nivel Detalle de Item'!B:B, A32, 'Nivel Detalle de Item'!L:L)</f>
        <v/>
      </c>
      <c r="M32" s="5">
        <f>(H32-I32)-L32</f>
        <v/>
      </c>
    </row>
    <row r="33">
      <c r="A33" s="6" t="inlineStr">
        <is>
          <t>TXN-20260801-032</t>
        </is>
      </c>
      <c r="B33" s="7" t="n">
        <v>46235.8452662037</v>
      </c>
      <c r="C33" s="8" t="inlineStr">
        <is>
          <t>SUC-003 E-Commerce</t>
        </is>
      </c>
      <c r="D33" s="8" t="inlineStr">
        <is>
          <t>E-Commerce</t>
        </is>
      </c>
      <c r="E33" s="6" t="inlineStr">
        <is>
          <t>CLI-5028</t>
        </is>
      </c>
      <c r="F33" s="8" t="inlineStr">
        <is>
          <t>Efectivo</t>
        </is>
      </c>
      <c r="G33" s="8" t="inlineStr">
        <is>
          <t>SISTEMA-WEB</t>
        </is>
      </c>
      <c r="H33" s="9">
        <f>SUMIF('Nivel Detalle de Item'!B:B, A33, 'Nivel Detalle de Item'!K:K)+SUMIF('Nivel Detalle de Item'!B:B, A33, 'Nivel Detalle de Item'!J:J)</f>
        <v/>
      </c>
      <c r="I33" s="9">
        <f>SUMIF('Nivel Detalle de Item'!B:B, A33, 'Nivel Detalle de Item'!J:J)</f>
        <v/>
      </c>
      <c r="J33" s="9">
        <f>(H33-I33)*0.21</f>
        <v/>
      </c>
      <c r="K33" s="9">
        <f>(H33-I33)+J33</f>
        <v/>
      </c>
      <c r="L33" s="9">
        <f>SUMIF('Nivel Detalle de Item'!B:B, A33, 'Nivel Detalle de Item'!L:L)</f>
        <v/>
      </c>
      <c r="M33" s="9">
        <f>(H33-I33)-L33</f>
        <v/>
      </c>
    </row>
    <row r="34">
      <c r="A34" s="2" t="inlineStr">
        <is>
          <t>TXN-20260801-033</t>
        </is>
      </c>
      <c r="B34" s="3" t="n">
        <v>46235.4603587963</v>
      </c>
      <c r="C34" s="4" t="inlineStr">
        <is>
          <t>SUC-003 E-Commerce</t>
        </is>
      </c>
      <c r="D34" s="4" t="inlineStr">
        <is>
          <t>E-Commerce</t>
        </is>
      </c>
      <c r="E34" s="2" t="inlineStr">
        <is>
          <t>CLI-7708</t>
        </is>
      </c>
      <c r="F34" s="4" t="inlineStr">
        <is>
          <t>Tarjeta Crédito</t>
        </is>
      </c>
      <c r="G34" s="4" t="inlineStr">
        <is>
          <t>SISTEMA-WEB</t>
        </is>
      </c>
      <c r="H34" s="5">
        <f>SUMIF('Nivel Detalle de Item'!B:B, A34, 'Nivel Detalle de Item'!K:K)+SUMIF('Nivel Detalle de Item'!B:B, A34, 'Nivel Detalle de Item'!J:J)</f>
        <v/>
      </c>
      <c r="I34" s="5">
        <f>SUMIF('Nivel Detalle de Item'!B:B, A34, 'Nivel Detalle de Item'!J:J)</f>
        <v/>
      </c>
      <c r="J34" s="5">
        <f>(H34-I34)*0.21</f>
        <v/>
      </c>
      <c r="K34" s="5">
        <f>(H34-I34)+J34</f>
        <v/>
      </c>
      <c r="L34" s="5">
        <f>SUMIF('Nivel Detalle de Item'!B:B, A34, 'Nivel Detalle de Item'!L:L)</f>
        <v/>
      </c>
      <c r="M34" s="5">
        <f>(H34-I34)-L34</f>
        <v/>
      </c>
    </row>
    <row r="35">
      <c r="A35" s="6" t="inlineStr">
        <is>
          <t>TXN-20260801-034</t>
        </is>
      </c>
      <c r="B35" s="7" t="n">
        <v>46235.57540509259</v>
      </c>
      <c r="C35" s="8" t="inlineStr">
        <is>
          <t>SUC-001 Centro</t>
        </is>
      </c>
      <c r="D35" s="8" t="inlineStr">
        <is>
          <t>Tienda Física</t>
        </is>
      </c>
      <c r="E35" s="6" t="inlineStr">
        <is>
          <t>CLI-8176</t>
        </is>
      </c>
      <c r="F35" s="8" t="inlineStr">
        <is>
          <t>Efectivo</t>
        </is>
      </c>
      <c r="G35" s="8" t="inlineStr">
        <is>
          <t>VEN-102 (María Gómez)</t>
        </is>
      </c>
      <c r="H35" s="9">
        <f>SUMIF('Nivel Detalle de Item'!B:B, A35, 'Nivel Detalle de Item'!K:K)+SUMIF('Nivel Detalle de Item'!B:B, A35, 'Nivel Detalle de Item'!J:J)</f>
        <v/>
      </c>
      <c r="I35" s="9">
        <f>SUMIF('Nivel Detalle de Item'!B:B, A35, 'Nivel Detalle de Item'!J:J)</f>
        <v/>
      </c>
      <c r="J35" s="9">
        <f>(H35-I35)*0.21</f>
        <v/>
      </c>
      <c r="K35" s="9">
        <f>(H35-I35)+J35</f>
        <v/>
      </c>
      <c r="L35" s="9">
        <f>SUMIF('Nivel Detalle de Item'!B:B, A35, 'Nivel Detalle de Item'!L:L)</f>
        <v/>
      </c>
      <c r="M35" s="9">
        <f>(H35-I35)-L35</f>
        <v/>
      </c>
    </row>
    <row r="36">
      <c r="A36" s="2" t="inlineStr">
        <is>
          <t>TXN-20260801-035</t>
        </is>
      </c>
      <c r="B36" s="3" t="n">
        <v>46235.78185185185</v>
      </c>
      <c r="C36" s="4" t="inlineStr">
        <is>
          <t>SUC-001 Centro</t>
        </is>
      </c>
      <c r="D36" s="4" t="inlineStr">
        <is>
          <t>Venta Telefónica</t>
        </is>
      </c>
      <c r="E36" s="2" t="inlineStr">
        <is>
          <t>CLI-2418</t>
        </is>
      </c>
      <c r="F36" s="4" t="inlineStr">
        <is>
          <t>Tarjeta Crédito</t>
        </is>
      </c>
      <c r="G36" s="4" t="inlineStr">
        <is>
          <t>VEN-101 (Juan Pérez)</t>
        </is>
      </c>
      <c r="H36" s="5">
        <f>SUMIF('Nivel Detalle de Item'!B:B, A36, 'Nivel Detalle de Item'!K:K)+SUMIF('Nivel Detalle de Item'!B:B, A36, 'Nivel Detalle de Item'!J:J)</f>
        <v/>
      </c>
      <c r="I36" s="5">
        <f>SUMIF('Nivel Detalle de Item'!B:B, A36, 'Nivel Detalle de Item'!J:J)</f>
        <v/>
      </c>
      <c r="J36" s="5">
        <f>(H36-I36)*0.21</f>
        <v/>
      </c>
      <c r="K36" s="5">
        <f>(H36-I36)+J36</f>
        <v/>
      </c>
      <c r="L36" s="5">
        <f>SUMIF('Nivel Detalle de Item'!B:B, A36, 'Nivel Detalle de Item'!L:L)</f>
        <v/>
      </c>
      <c r="M36" s="5">
        <f>(H36-I36)-L36</f>
        <v/>
      </c>
    </row>
    <row r="37">
      <c r="A37" s="6" t="inlineStr">
        <is>
          <t>TXN-20260801-036</t>
        </is>
      </c>
      <c r="B37" s="7" t="n">
        <v>46235.72278935185</v>
      </c>
      <c r="C37" s="8" t="inlineStr">
        <is>
          <t>SUC-002 Norte</t>
        </is>
      </c>
      <c r="D37" s="8" t="inlineStr">
        <is>
          <t>Venta Telefónica</t>
        </is>
      </c>
      <c r="E37" s="6" t="inlineStr">
        <is>
          <t>CLI-6349</t>
        </is>
      </c>
      <c r="F37" s="8" t="inlineStr">
        <is>
          <t>Tarjeta Débito</t>
        </is>
      </c>
      <c r="G37" s="8" t="inlineStr">
        <is>
          <t>VEN-103 (Carlos Ruiz)</t>
        </is>
      </c>
      <c r="H37" s="9">
        <f>SUMIF('Nivel Detalle de Item'!B:B, A37, 'Nivel Detalle de Item'!K:K)+SUMIF('Nivel Detalle de Item'!B:B, A37, 'Nivel Detalle de Item'!J:J)</f>
        <v/>
      </c>
      <c r="I37" s="9">
        <f>SUMIF('Nivel Detalle de Item'!B:B, A37, 'Nivel Detalle de Item'!J:J)</f>
        <v/>
      </c>
      <c r="J37" s="9">
        <f>(H37-I37)*0.21</f>
        <v/>
      </c>
      <c r="K37" s="9">
        <f>(H37-I37)+J37</f>
        <v/>
      </c>
      <c r="L37" s="9">
        <f>SUMIF('Nivel Detalle de Item'!B:B, A37, 'Nivel Detalle de Item'!L:L)</f>
        <v/>
      </c>
      <c r="M37" s="9">
        <f>(H37-I37)-L37</f>
        <v/>
      </c>
    </row>
    <row r="38">
      <c r="A38" s="2" t="inlineStr">
        <is>
          <t>TXN-20260801-037</t>
        </is>
      </c>
      <c r="B38" s="3" t="n">
        <v>46235.39065972222</v>
      </c>
      <c r="C38" s="4" t="inlineStr">
        <is>
          <t>SUC-003 E-Commerce</t>
        </is>
      </c>
      <c r="D38" s="4" t="inlineStr">
        <is>
          <t>E-Commerce</t>
        </is>
      </c>
      <c r="E38" s="2" t="inlineStr">
        <is>
          <t>CLI-8145</t>
        </is>
      </c>
      <c r="F38" s="4" t="inlineStr">
        <is>
          <t>Transferencia</t>
        </is>
      </c>
      <c r="G38" s="4" t="inlineStr">
        <is>
          <t>SISTEMA-WEB</t>
        </is>
      </c>
      <c r="H38" s="5">
        <f>SUMIF('Nivel Detalle de Item'!B:B, A38, 'Nivel Detalle de Item'!K:K)+SUMIF('Nivel Detalle de Item'!B:B, A38, 'Nivel Detalle de Item'!J:J)</f>
        <v/>
      </c>
      <c r="I38" s="5">
        <f>SUMIF('Nivel Detalle de Item'!B:B, A38, 'Nivel Detalle de Item'!J:J)</f>
        <v/>
      </c>
      <c r="J38" s="5">
        <f>(H38-I38)*0.21</f>
        <v/>
      </c>
      <c r="K38" s="5">
        <f>(H38-I38)+J38</f>
        <v/>
      </c>
      <c r="L38" s="5">
        <f>SUMIF('Nivel Detalle de Item'!B:B, A38, 'Nivel Detalle de Item'!L:L)</f>
        <v/>
      </c>
      <c r="M38" s="5">
        <f>(H38-I38)-L38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2" customWidth="1" min="4" max="4"/>
    <col width="28" customWidth="1" min="5" max="5"/>
    <col width="14" customWidth="1" min="6" max="6"/>
    <col width="12" customWidth="1" min="7" max="7"/>
    <col width="19" customWidth="1" min="8" max="8"/>
    <col width="18" customWidth="1" min="9" max="9"/>
    <col width="19" customWidth="1" min="10" max="10"/>
    <col width="18" customWidth="1" min="11" max="11"/>
    <col width="21" customWidth="1" min="12" max="12"/>
    <col width="22" customWidth="1" min="13" max="13"/>
  </cols>
  <sheetData>
    <row r="1">
      <c r="A1" s="1" t="inlineStr">
        <is>
          <t>ID Linea</t>
        </is>
      </c>
      <c r="B1" s="1" t="inlineStr">
        <is>
          <t>ID Transaccion</t>
        </is>
      </c>
      <c r="C1" s="1" t="inlineStr">
        <is>
          <t>Nro Linea</t>
        </is>
      </c>
      <c r="D1" s="1" t="inlineStr">
        <is>
          <t>SKU</t>
        </is>
      </c>
      <c r="E1" s="1" t="inlineStr">
        <is>
          <t>Producto</t>
        </is>
      </c>
      <c r="F1" s="1" t="inlineStr">
        <is>
          <t>Categoria</t>
        </is>
      </c>
      <c r="G1" s="1" t="inlineStr">
        <is>
          <t>Cantidad</t>
        </is>
      </c>
      <c r="H1" s="1" t="inlineStr">
        <is>
          <t>Precio Unitario</t>
        </is>
      </c>
      <c r="I1" s="1" t="inlineStr">
        <is>
          <t>Costo Unitario</t>
        </is>
      </c>
      <c r="J1" s="1" t="inlineStr">
        <is>
          <t>Descuento Linea</t>
        </is>
      </c>
      <c r="K1" s="1" t="inlineStr">
        <is>
          <t>Total Linea</t>
        </is>
      </c>
      <c r="L1" s="1" t="inlineStr">
        <is>
          <t>Costo Total Linea</t>
        </is>
      </c>
      <c r="M1" s="1" t="inlineStr">
        <is>
          <t>Margen Bruto Linea</t>
        </is>
      </c>
    </row>
    <row r="2">
      <c r="A2" s="2" t="n">
        <v>1</v>
      </c>
      <c r="B2" s="2" t="inlineStr">
        <is>
          <t>TXN-20260801-001</t>
        </is>
      </c>
      <c r="C2" s="2" t="n">
        <v>1</v>
      </c>
      <c r="D2" s="2" t="inlineStr">
        <is>
          <t>PROD-102</t>
        </is>
      </c>
      <c r="E2" s="4" t="inlineStr">
        <is>
          <t>Monitor 27 UHD</t>
        </is>
      </c>
      <c r="F2" s="2" t="inlineStr">
        <is>
          <t>Tecnología</t>
        </is>
      </c>
      <c r="G2" s="10" t="n">
        <v>3</v>
      </c>
      <c r="H2" s="5" t="n">
        <v>280000</v>
      </c>
      <c r="I2" s="5" t="n">
        <v>190000</v>
      </c>
      <c r="J2" s="5" t="n">
        <v>0</v>
      </c>
      <c r="K2" s="5">
        <f>(G2*H2)-J2</f>
        <v/>
      </c>
      <c r="L2" s="5">
        <f>G2*I2</f>
        <v/>
      </c>
      <c r="M2" s="5">
        <f>K2-L2</f>
        <v/>
      </c>
    </row>
    <row r="3">
      <c r="A3" s="6" t="n">
        <v>2</v>
      </c>
      <c r="B3" s="6" t="inlineStr">
        <is>
          <t>TXN-20260801-001</t>
        </is>
      </c>
      <c r="C3" s="6" t="n">
        <v>2</v>
      </c>
      <c r="D3" s="6" t="inlineStr">
        <is>
          <t>PROD-101</t>
        </is>
      </c>
      <c r="E3" s="8" t="inlineStr">
        <is>
          <t>Notebook Pro 15</t>
        </is>
      </c>
      <c r="F3" s="6" t="inlineStr">
        <is>
          <t>Tecnología</t>
        </is>
      </c>
      <c r="G3" s="11" t="n">
        <v>3</v>
      </c>
      <c r="H3" s="9" t="n">
        <v>850000</v>
      </c>
      <c r="I3" s="9" t="n">
        <v>620000</v>
      </c>
      <c r="J3" s="9" t="n">
        <v>0</v>
      </c>
      <c r="K3" s="9">
        <f>(G3*H3)-J3</f>
        <v/>
      </c>
      <c r="L3" s="9">
        <f>G3*I3</f>
        <v/>
      </c>
      <c r="M3" s="9">
        <f>K3-L3</f>
        <v/>
      </c>
    </row>
    <row r="4">
      <c r="A4" s="2" t="n">
        <v>3</v>
      </c>
      <c r="B4" s="2" t="inlineStr">
        <is>
          <t>TXN-20260801-001</t>
        </is>
      </c>
      <c r="C4" s="2" t="n">
        <v>3</v>
      </c>
      <c r="D4" s="2" t="inlineStr">
        <is>
          <t>PROD-101</t>
        </is>
      </c>
      <c r="E4" s="4" t="inlineStr">
        <is>
          <t>Notebook Pro 15</t>
        </is>
      </c>
      <c r="F4" s="2" t="inlineStr">
        <is>
          <t>Tecnología</t>
        </is>
      </c>
      <c r="G4" s="10" t="n">
        <v>3</v>
      </c>
      <c r="H4" s="5" t="n">
        <v>850000</v>
      </c>
      <c r="I4" s="5" t="n">
        <v>620000</v>
      </c>
      <c r="J4" s="5" t="n">
        <v>255000</v>
      </c>
      <c r="K4" s="5">
        <f>(G4*H4)-J4</f>
        <v/>
      </c>
      <c r="L4" s="5">
        <f>G4*I4</f>
        <v/>
      </c>
      <c r="M4" s="5">
        <f>K4-L4</f>
        <v/>
      </c>
    </row>
    <row r="5">
      <c r="A5" s="6" t="n">
        <v>4</v>
      </c>
      <c r="B5" s="6" t="inlineStr">
        <is>
          <t>TXN-20260801-001</t>
        </is>
      </c>
      <c r="C5" s="6" t="n">
        <v>4</v>
      </c>
      <c r="D5" s="6" t="inlineStr">
        <is>
          <t>PROD-107</t>
        </is>
      </c>
      <c r="E5" s="8" t="inlineStr">
        <is>
          <t>Escritorio Ajustable</t>
        </is>
      </c>
      <c r="F5" s="6" t="inlineStr">
        <is>
          <t>Muebles</t>
        </is>
      </c>
      <c r="G5" s="11" t="n">
        <v>2</v>
      </c>
      <c r="H5" s="9" t="n">
        <v>240000</v>
      </c>
      <c r="I5" s="9" t="n">
        <v>150000</v>
      </c>
      <c r="J5" s="9" t="n">
        <v>0</v>
      </c>
      <c r="K5" s="9">
        <f>(G5*H5)-J5</f>
        <v/>
      </c>
      <c r="L5" s="9">
        <f>G5*I5</f>
        <v/>
      </c>
      <c r="M5" s="9">
        <f>K5-L5</f>
        <v/>
      </c>
    </row>
    <row r="6">
      <c r="A6" s="2" t="n">
        <v>5</v>
      </c>
      <c r="B6" s="2" t="inlineStr">
        <is>
          <t>TXN-20260801-002</t>
        </is>
      </c>
      <c r="C6" s="2" t="n">
        <v>1</v>
      </c>
      <c r="D6" s="2" t="inlineStr">
        <is>
          <t>PROD-108</t>
        </is>
      </c>
      <c r="E6" s="4" t="inlineStr">
        <is>
          <t>Webcam 4K Ultra</t>
        </is>
      </c>
      <c r="F6" s="2" t="inlineStr">
        <is>
          <t>Tecnología</t>
        </is>
      </c>
      <c r="G6" s="10" t="n">
        <v>3</v>
      </c>
      <c r="H6" s="5" t="n">
        <v>75000</v>
      </c>
      <c r="I6" s="5" t="n">
        <v>42000</v>
      </c>
      <c r="J6" s="5" t="n">
        <v>11250</v>
      </c>
      <c r="K6" s="5">
        <f>(G6*H6)-J6</f>
        <v/>
      </c>
      <c r="L6" s="5">
        <f>G6*I6</f>
        <v/>
      </c>
      <c r="M6" s="5">
        <f>K6-L6</f>
        <v/>
      </c>
    </row>
    <row r="7">
      <c r="A7" s="6" t="n">
        <v>6</v>
      </c>
      <c r="B7" s="6" t="inlineStr">
        <is>
          <t>TXN-20260801-002</t>
        </is>
      </c>
      <c r="C7" s="6" t="n">
        <v>2</v>
      </c>
      <c r="D7" s="6" t="inlineStr">
        <is>
          <t>PROD-106</t>
        </is>
      </c>
      <c r="E7" s="8" t="inlineStr">
        <is>
          <t>Silla Ergonómica Oficina</t>
        </is>
      </c>
      <c r="F7" s="6" t="inlineStr">
        <is>
          <t>Muebles</t>
        </is>
      </c>
      <c r="G7" s="11" t="n">
        <v>2</v>
      </c>
      <c r="H7" s="9" t="n">
        <v>185000</v>
      </c>
      <c r="I7" s="9" t="n">
        <v>115000</v>
      </c>
      <c r="J7" s="9" t="n">
        <v>37000</v>
      </c>
      <c r="K7" s="9">
        <f>(G7*H7)-J7</f>
        <v/>
      </c>
      <c r="L7" s="9">
        <f>G7*I7</f>
        <v/>
      </c>
      <c r="M7" s="9">
        <f>K7-L7</f>
        <v/>
      </c>
    </row>
    <row r="8">
      <c r="A8" s="2" t="n">
        <v>7</v>
      </c>
      <c r="B8" s="2" t="inlineStr">
        <is>
          <t>TXN-20260801-003</t>
        </is>
      </c>
      <c r="C8" s="2" t="n">
        <v>1</v>
      </c>
      <c r="D8" s="2" t="inlineStr">
        <is>
          <t>PROD-106</t>
        </is>
      </c>
      <c r="E8" s="4" t="inlineStr">
        <is>
          <t>Silla Ergonómica Oficina</t>
        </is>
      </c>
      <c r="F8" s="2" t="inlineStr">
        <is>
          <t>Muebles</t>
        </is>
      </c>
      <c r="G8" s="10" t="n">
        <v>3</v>
      </c>
      <c r="H8" s="5" t="n">
        <v>185000</v>
      </c>
      <c r="I8" s="5" t="n">
        <v>115000</v>
      </c>
      <c r="J8" s="5" t="n">
        <v>55500</v>
      </c>
      <c r="K8" s="5">
        <f>(G8*H8)-J8</f>
        <v/>
      </c>
      <c r="L8" s="5">
        <f>G8*I8</f>
        <v/>
      </c>
      <c r="M8" s="5">
        <f>K8-L8</f>
        <v/>
      </c>
    </row>
    <row r="9">
      <c r="A9" s="6" t="n">
        <v>8</v>
      </c>
      <c r="B9" s="6" t="inlineStr">
        <is>
          <t>TXN-20260801-004</t>
        </is>
      </c>
      <c r="C9" s="6" t="n">
        <v>1</v>
      </c>
      <c r="D9" s="6" t="inlineStr">
        <is>
          <t>PROD-102</t>
        </is>
      </c>
      <c r="E9" s="8" t="inlineStr">
        <is>
          <t>Monitor 27 UHD</t>
        </is>
      </c>
      <c r="F9" s="6" t="inlineStr">
        <is>
          <t>Tecnología</t>
        </is>
      </c>
      <c r="G9" s="11" t="n">
        <v>2</v>
      </c>
      <c r="H9" s="9" t="n">
        <v>280000</v>
      </c>
      <c r="I9" s="9" t="n">
        <v>190000</v>
      </c>
      <c r="J9" s="9" t="n">
        <v>0</v>
      </c>
      <c r="K9" s="9">
        <f>(G9*H9)-J9</f>
        <v/>
      </c>
      <c r="L9" s="9">
        <f>G9*I9</f>
        <v/>
      </c>
      <c r="M9" s="9">
        <f>K9-L9</f>
        <v/>
      </c>
    </row>
    <row r="10">
      <c r="A10" s="2" t="n">
        <v>9</v>
      </c>
      <c r="B10" s="2" t="inlineStr">
        <is>
          <t>TXN-20260801-005</t>
        </is>
      </c>
      <c r="C10" s="2" t="n">
        <v>1</v>
      </c>
      <c r="D10" s="2" t="inlineStr">
        <is>
          <t>PROD-108</t>
        </is>
      </c>
      <c r="E10" s="4" t="inlineStr">
        <is>
          <t>Webcam 4K Ultra</t>
        </is>
      </c>
      <c r="F10" s="2" t="inlineStr">
        <is>
          <t>Tecnología</t>
        </is>
      </c>
      <c r="G10" s="10" t="n">
        <v>2</v>
      </c>
      <c r="H10" s="5" t="n">
        <v>75000</v>
      </c>
      <c r="I10" s="5" t="n">
        <v>42000</v>
      </c>
      <c r="J10" s="5" t="n">
        <v>0</v>
      </c>
      <c r="K10" s="5">
        <f>(G10*H10)-J10</f>
        <v/>
      </c>
      <c r="L10" s="5">
        <f>G10*I10</f>
        <v/>
      </c>
      <c r="M10" s="5">
        <f>K10-L10</f>
        <v/>
      </c>
    </row>
    <row r="11">
      <c r="A11" s="6" t="n">
        <v>10</v>
      </c>
      <c r="B11" s="6" t="inlineStr">
        <is>
          <t>TXN-20260801-006</t>
        </is>
      </c>
      <c r="C11" s="6" t="n">
        <v>1</v>
      </c>
      <c r="D11" s="6" t="inlineStr">
        <is>
          <t>PROD-105</t>
        </is>
      </c>
      <c r="E11" s="8" t="inlineStr">
        <is>
          <t>Auriculares Bluetooth</t>
        </is>
      </c>
      <c r="F11" s="6" t="inlineStr">
        <is>
          <t>Audio</t>
        </is>
      </c>
      <c r="G11" s="11" t="n">
        <v>3</v>
      </c>
      <c r="H11" s="9" t="n">
        <v>65000</v>
      </c>
      <c r="I11" s="9" t="n">
        <v>35000</v>
      </c>
      <c r="J11" s="9" t="n">
        <v>9750</v>
      </c>
      <c r="K11" s="9">
        <f>(G11*H11)-J11</f>
        <v/>
      </c>
      <c r="L11" s="9">
        <f>G11*I11</f>
        <v/>
      </c>
      <c r="M11" s="9">
        <f>K11-L11</f>
        <v/>
      </c>
    </row>
    <row r="12">
      <c r="A12" s="2" t="n">
        <v>11</v>
      </c>
      <c r="B12" s="2" t="inlineStr">
        <is>
          <t>TXN-20260801-006</t>
        </is>
      </c>
      <c r="C12" s="2" t="n">
        <v>2</v>
      </c>
      <c r="D12" s="2" t="inlineStr">
        <is>
          <t>PROD-106</t>
        </is>
      </c>
      <c r="E12" s="4" t="inlineStr">
        <is>
          <t>Silla Ergonómica Oficina</t>
        </is>
      </c>
      <c r="F12" s="2" t="inlineStr">
        <is>
          <t>Muebles</t>
        </is>
      </c>
      <c r="G12" s="10" t="n">
        <v>3</v>
      </c>
      <c r="H12" s="5" t="n">
        <v>185000</v>
      </c>
      <c r="I12" s="5" t="n">
        <v>115000</v>
      </c>
      <c r="J12" s="5" t="n">
        <v>27750</v>
      </c>
      <c r="K12" s="5">
        <f>(G12*H12)-J12</f>
        <v/>
      </c>
      <c r="L12" s="5">
        <f>G12*I12</f>
        <v/>
      </c>
      <c r="M12" s="5">
        <f>K12-L12</f>
        <v/>
      </c>
    </row>
    <row r="13">
      <c r="A13" s="6" t="n">
        <v>12</v>
      </c>
      <c r="B13" s="6" t="inlineStr">
        <is>
          <t>TXN-20260801-007</t>
        </is>
      </c>
      <c r="C13" s="6" t="n">
        <v>1</v>
      </c>
      <c r="D13" s="6" t="inlineStr">
        <is>
          <t>PROD-104</t>
        </is>
      </c>
      <c r="E13" s="8" t="inlineStr">
        <is>
          <t>Mouse Inalámbrico</t>
        </is>
      </c>
      <c r="F13" s="6" t="inlineStr">
        <is>
          <t>Accesorios</t>
        </is>
      </c>
      <c r="G13" s="11" t="n">
        <v>2</v>
      </c>
      <c r="H13" s="9" t="n">
        <v>25000</v>
      </c>
      <c r="I13" s="9" t="n">
        <v>11000</v>
      </c>
      <c r="J13" s="9" t="n">
        <v>0</v>
      </c>
      <c r="K13" s="9">
        <f>(G13*H13)-J13</f>
        <v/>
      </c>
      <c r="L13" s="9">
        <f>G13*I13</f>
        <v/>
      </c>
      <c r="M13" s="9">
        <f>K13-L13</f>
        <v/>
      </c>
    </row>
    <row r="14">
      <c r="A14" s="2" t="n">
        <v>13</v>
      </c>
      <c r="B14" s="2" t="inlineStr">
        <is>
          <t>TXN-20260801-007</t>
        </is>
      </c>
      <c r="C14" s="2" t="n">
        <v>2</v>
      </c>
      <c r="D14" s="2" t="inlineStr">
        <is>
          <t>PROD-107</t>
        </is>
      </c>
      <c r="E14" s="4" t="inlineStr">
        <is>
          <t>Escritorio Ajustable</t>
        </is>
      </c>
      <c r="F14" s="2" t="inlineStr">
        <is>
          <t>Muebles</t>
        </is>
      </c>
      <c r="G14" s="10" t="n">
        <v>2</v>
      </c>
      <c r="H14" s="5" t="n">
        <v>240000</v>
      </c>
      <c r="I14" s="5" t="n">
        <v>150000</v>
      </c>
      <c r="J14" s="5" t="n">
        <v>48000</v>
      </c>
      <c r="K14" s="5">
        <f>(G14*H14)-J14</f>
        <v/>
      </c>
      <c r="L14" s="5">
        <f>G14*I14</f>
        <v/>
      </c>
      <c r="M14" s="5">
        <f>K14-L14</f>
        <v/>
      </c>
    </row>
    <row r="15">
      <c r="A15" s="6" t="n">
        <v>14</v>
      </c>
      <c r="B15" s="6" t="inlineStr">
        <is>
          <t>TXN-20260801-008</t>
        </is>
      </c>
      <c r="C15" s="6" t="n">
        <v>1</v>
      </c>
      <c r="D15" s="6" t="inlineStr">
        <is>
          <t>PROD-104</t>
        </is>
      </c>
      <c r="E15" s="8" t="inlineStr">
        <is>
          <t>Mouse Inalámbrico</t>
        </is>
      </c>
      <c r="F15" s="6" t="inlineStr">
        <is>
          <t>Accesorios</t>
        </is>
      </c>
      <c r="G15" s="11" t="n">
        <v>3</v>
      </c>
      <c r="H15" s="9" t="n">
        <v>25000</v>
      </c>
      <c r="I15" s="9" t="n">
        <v>11000</v>
      </c>
      <c r="J15" s="9" t="n">
        <v>3750</v>
      </c>
      <c r="K15" s="9">
        <f>(G15*H15)-J15</f>
        <v/>
      </c>
      <c r="L15" s="9">
        <f>G15*I15</f>
        <v/>
      </c>
      <c r="M15" s="9">
        <f>K15-L15</f>
        <v/>
      </c>
    </row>
    <row r="16">
      <c r="A16" s="2" t="n">
        <v>15</v>
      </c>
      <c r="B16" s="2" t="inlineStr">
        <is>
          <t>TXN-20260801-008</t>
        </is>
      </c>
      <c r="C16" s="2" t="n">
        <v>2</v>
      </c>
      <c r="D16" s="2" t="inlineStr">
        <is>
          <t>PROD-105</t>
        </is>
      </c>
      <c r="E16" s="4" t="inlineStr">
        <is>
          <t>Auriculares Bluetooth</t>
        </is>
      </c>
      <c r="F16" s="2" t="inlineStr">
        <is>
          <t>Audio</t>
        </is>
      </c>
      <c r="G16" s="10" t="n">
        <v>2</v>
      </c>
      <c r="H16" s="5" t="n">
        <v>65000</v>
      </c>
      <c r="I16" s="5" t="n">
        <v>35000</v>
      </c>
      <c r="J16" s="5" t="n">
        <v>6500</v>
      </c>
      <c r="K16" s="5">
        <f>(G16*H16)-J16</f>
        <v/>
      </c>
      <c r="L16" s="5">
        <f>G16*I16</f>
        <v/>
      </c>
      <c r="M16" s="5">
        <f>K16-L16</f>
        <v/>
      </c>
    </row>
    <row r="17">
      <c r="A17" s="6" t="n">
        <v>16</v>
      </c>
      <c r="B17" s="6" t="inlineStr">
        <is>
          <t>TXN-20260801-009</t>
        </is>
      </c>
      <c r="C17" s="6" t="n">
        <v>1</v>
      </c>
      <c r="D17" s="6" t="inlineStr">
        <is>
          <t>PROD-107</t>
        </is>
      </c>
      <c r="E17" s="8" t="inlineStr">
        <is>
          <t>Escritorio Ajustable</t>
        </is>
      </c>
      <c r="F17" s="6" t="inlineStr">
        <is>
          <t>Muebles</t>
        </is>
      </c>
      <c r="G17" s="11" t="n">
        <v>2</v>
      </c>
      <c r="H17" s="9" t="n">
        <v>240000</v>
      </c>
      <c r="I17" s="9" t="n">
        <v>150000</v>
      </c>
      <c r="J17" s="9" t="n">
        <v>24000</v>
      </c>
      <c r="K17" s="9">
        <f>(G17*H17)-J17</f>
        <v/>
      </c>
      <c r="L17" s="9">
        <f>G17*I17</f>
        <v/>
      </c>
      <c r="M17" s="9">
        <f>K17-L17</f>
        <v/>
      </c>
    </row>
    <row r="18">
      <c r="A18" s="2" t="n">
        <v>17</v>
      </c>
      <c r="B18" s="2" t="inlineStr">
        <is>
          <t>TXN-20260801-009</t>
        </is>
      </c>
      <c r="C18" s="2" t="n">
        <v>2</v>
      </c>
      <c r="D18" s="2" t="inlineStr">
        <is>
          <t>PROD-107</t>
        </is>
      </c>
      <c r="E18" s="4" t="inlineStr">
        <is>
          <t>Escritorio Ajustable</t>
        </is>
      </c>
      <c r="F18" s="2" t="inlineStr">
        <is>
          <t>Muebles</t>
        </is>
      </c>
      <c r="G18" s="10" t="n">
        <v>3</v>
      </c>
      <c r="H18" s="5" t="n">
        <v>240000</v>
      </c>
      <c r="I18" s="5" t="n">
        <v>150000</v>
      </c>
      <c r="J18" s="5" t="n">
        <v>0</v>
      </c>
      <c r="K18" s="5">
        <f>(G18*H18)-J18</f>
        <v/>
      </c>
      <c r="L18" s="5">
        <f>G18*I18</f>
        <v/>
      </c>
      <c r="M18" s="5">
        <f>K18-L18</f>
        <v/>
      </c>
    </row>
    <row r="19">
      <c r="A19" s="6" t="n">
        <v>18</v>
      </c>
      <c r="B19" s="6" t="inlineStr">
        <is>
          <t>TXN-20260801-009</t>
        </is>
      </c>
      <c r="C19" s="6" t="n">
        <v>3</v>
      </c>
      <c r="D19" s="6" t="inlineStr">
        <is>
          <t>PROD-107</t>
        </is>
      </c>
      <c r="E19" s="8" t="inlineStr">
        <is>
          <t>Escritorio Ajustable</t>
        </is>
      </c>
      <c r="F19" s="6" t="inlineStr">
        <is>
          <t>Muebles</t>
        </is>
      </c>
      <c r="G19" s="11" t="n">
        <v>3</v>
      </c>
      <c r="H19" s="9" t="n">
        <v>240000</v>
      </c>
      <c r="I19" s="9" t="n">
        <v>150000</v>
      </c>
      <c r="J19" s="9" t="n">
        <v>0</v>
      </c>
      <c r="K19" s="9">
        <f>(G19*H19)-J19</f>
        <v/>
      </c>
      <c r="L19" s="9">
        <f>G19*I19</f>
        <v/>
      </c>
      <c r="M19" s="9">
        <f>K19-L19</f>
        <v/>
      </c>
    </row>
    <row r="20">
      <c r="A20" s="2" t="n">
        <v>19</v>
      </c>
      <c r="B20" s="2" t="inlineStr">
        <is>
          <t>TXN-20260801-009</t>
        </is>
      </c>
      <c r="C20" s="2" t="n">
        <v>4</v>
      </c>
      <c r="D20" s="2" t="inlineStr">
        <is>
          <t>PROD-106</t>
        </is>
      </c>
      <c r="E20" s="4" t="inlineStr">
        <is>
          <t>Silla Ergonómica Oficina</t>
        </is>
      </c>
      <c r="F20" s="2" t="inlineStr">
        <is>
          <t>Muebles</t>
        </is>
      </c>
      <c r="G20" s="10" t="n">
        <v>3</v>
      </c>
      <c r="H20" s="5" t="n">
        <v>185000</v>
      </c>
      <c r="I20" s="5" t="n">
        <v>115000</v>
      </c>
      <c r="J20" s="5" t="n">
        <v>27750</v>
      </c>
      <c r="K20" s="5">
        <f>(G20*H20)-J20</f>
        <v/>
      </c>
      <c r="L20" s="5">
        <f>G20*I20</f>
        <v/>
      </c>
      <c r="M20" s="5">
        <f>K20-L20</f>
        <v/>
      </c>
    </row>
    <row r="21">
      <c r="A21" s="6" t="n">
        <v>20</v>
      </c>
      <c r="B21" s="6" t="inlineStr">
        <is>
          <t>TXN-20260801-010</t>
        </is>
      </c>
      <c r="C21" s="6" t="n">
        <v>1</v>
      </c>
      <c r="D21" s="6" t="inlineStr">
        <is>
          <t>PROD-108</t>
        </is>
      </c>
      <c r="E21" s="8" t="inlineStr">
        <is>
          <t>Webcam 4K Ultra</t>
        </is>
      </c>
      <c r="F21" s="6" t="inlineStr">
        <is>
          <t>Tecnología</t>
        </is>
      </c>
      <c r="G21" s="11" t="n">
        <v>1</v>
      </c>
      <c r="H21" s="9" t="n">
        <v>75000</v>
      </c>
      <c r="I21" s="9" t="n">
        <v>42000</v>
      </c>
      <c r="J21" s="9" t="n">
        <v>0</v>
      </c>
      <c r="K21" s="9">
        <f>(G21*H21)-J21</f>
        <v/>
      </c>
      <c r="L21" s="9">
        <f>G21*I21</f>
        <v/>
      </c>
      <c r="M21" s="9">
        <f>K21-L21</f>
        <v/>
      </c>
    </row>
    <row r="22">
      <c r="A22" s="2" t="n">
        <v>21</v>
      </c>
      <c r="B22" s="2" t="inlineStr">
        <is>
          <t>TXN-20260801-011</t>
        </is>
      </c>
      <c r="C22" s="2" t="n">
        <v>1</v>
      </c>
      <c r="D22" s="2" t="inlineStr">
        <is>
          <t>PROD-108</t>
        </is>
      </c>
      <c r="E22" s="4" t="inlineStr">
        <is>
          <t>Webcam 4K Ultra</t>
        </is>
      </c>
      <c r="F22" s="2" t="inlineStr">
        <is>
          <t>Tecnología</t>
        </is>
      </c>
      <c r="G22" s="10" t="n">
        <v>3</v>
      </c>
      <c r="H22" s="5" t="n">
        <v>75000</v>
      </c>
      <c r="I22" s="5" t="n">
        <v>42000</v>
      </c>
      <c r="J22" s="5" t="n">
        <v>11250</v>
      </c>
      <c r="K22" s="5">
        <f>(G22*H22)-J22</f>
        <v/>
      </c>
      <c r="L22" s="5">
        <f>G22*I22</f>
        <v/>
      </c>
      <c r="M22" s="5">
        <f>K22-L22</f>
        <v/>
      </c>
    </row>
    <row r="23">
      <c r="A23" s="6" t="n">
        <v>22</v>
      </c>
      <c r="B23" s="6" t="inlineStr">
        <is>
          <t>TXN-20260801-011</t>
        </is>
      </c>
      <c r="C23" s="6" t="n">
        <v>2</v>
      </c>
      <c r="D23" s="6" t="inlineStr">
        <is>
          <t>PROD-102</t>
        </is>
      </c>
      <c r="E23" s="8" t="inlineStr">
        <is>
          <t>Monitor 27 UHD</t>
        </is>
      </c>
      <c r="F23" s="6" t="inlineStr">
        <is>
          <t>Tecnología</t>
        </is>
      </c>
      <c r="G23" s="11" t="n">
        <v>2</v>
      </c>
      <c r="H23" s="9" t="n">
        <v>280000</v>
      </c>
      <c r="I23" s="9" t="n">
        <v>190000</v>
      </c>
      <c r="J23" s="9" t="n">
        <v>0</v>
      </c>
      <c r="K23" s="9">
        <f>(G23*H23)-J23</f>
        <v/>
      </c>
      <c r="L23" s="9">
        <f>G23*I23</f>
        <v/>
      </c>
      <c r="M23" s="9">
        <f>K23-L23</f>
        <v/>
      </c>
    </row>
    <row r="24">
      <c r="A24" s="2" t="n">
        <v>23</v>
      </c>
      <c r="B24" s="2" t="inlineStr">
        <is>
          <t>TXN-20260801-011</t>
        </is>
      </c>
      <c r="C24" s="2" t="n">
        <v>3</v>
      </c>
      <c r="D24" s="2" t="inlineStr">
        <is>
          <t>PROD-106</t>
        </is>
      </c>
      <c r="E24" s="4" t="inlineStr">
        <is>
          <t>Silla Ergonómica Oficina</t>
        </is>
      </c>
      <c r="F24" s="2" t="inlineStr">
        <is>
          <t>Muebles</t>
        </is>
      </c>
      <c r="G24" s="10" t="n">
        <v>2</v>
      </c>
      <c r="H24" s="5" t="n">
        <v>185000</v>
      </c>
      <c r="I24" s="5" t="n">
        <v>115000</v>
      </c>
      <c r="J24" s="5" t="n">
        <v>37000</v>
      </c>
      <c r="K24" s="5">
        <f>(G24*H24)-J24</f>
        <v/>
      </c>
      <c r="L24" s="5">
        <f>G24*I24</f>
        <v/>
      </c>
      <c r="M24" s="5">
        <f>K24-L24</f>
        <v/>
      </c>
    </row>
    <row r="25">
      <c r="A25" s="6" t="n">
        <v>24</v>
      </c>
      <c r="B25" s="6" t="inlineStr">
        <is>
          <t>TXN-20260801-011</t>
        </is>
      </c>
      <c r="C25" s="6" t="n">
        <v>4</v>
      </c>
      <c r="D25" s="6" t="inlineStr">
        <is>
          <t>PROD-108</t>
        </is>
      </c>
      <c r="E25" s="8" t="inlineStr">
        <is>
          <t>Webcam 4K Ultra</t>
        </is>
      </c>
      <c r="F25" s="6" t="inlineStr">
        <is>
          <t>Tecnología</t>
        </is>
      </c>
      <c r="G25" s="11" t="n">
        <v>3</v>
      </c>
      <c r="H25" s="9" t="n">
        <v>75000</v>
      </c>
      <c r="I25" s="9" t="n">
        <v>42000</v>
      </c>
      <c r="J25" s="9" t="n">
        <v>11250</v>
      </c>
      <c r="K25" s="9">
        <f>(G25*H25)-J25</f>
        <v/>
      </c>
      <c r="L25" s="9">
        <f>G25*I25</f>
        <v/>
      </c>
      <c r="M25" s="9">
        <f>K25-L25</f>
        <v/>
      </c>
    </row>
    <row r="26">
      <c r="A26" s="2" t="n">
        <v>25</v>
      </c>
      <c r="B26" s="2" t="inlineStr">
        <is>
          <t>TXN-20260801-012</t>
        </is>
      </c>
      <c r="C26" s="2" t="n">
        <v>1</v>
      </c>
      <c r="D26" s="2" t="inlineStr">
        <is>
          <t>PROD-102</t>
        </is>
      </c>
      <c r="E26" s="4" t="inlineStr">
        <is>
          <t>Monitor 27 UHD</t>
        </is>
      </c>
      <c r="F26" s="2" t="inlineStr">
        <is>
          <t>Tecnología</t>
        </is>
      </c>
      <c r="G26" s="10" t="n">
        <v>3</v>
      </c>
      <c r="H26" s="5" t="n">
        <v>280000</v>
      </c>
      <c r="I26" s="5" t="n">
        <v>190000</v>
      </c>
      <c r="J26" s="5" t="n">
        <v>42000</v>
      </c>
      <c r="K26" s="5">
        <f>(G26*H26)-J26</f>
        <v/>
      </c>
      <c r="L26" s="5">
        <f>G26*I26</f>
        <v/>
      </c>
      <c r="M26" s="5">
        <f>K26-L26</f>
        <v/>
      </c>
    </row>
    <row r="27">
      <c r="A27" s="6" t="n">
        <v>26</v>
      </c>
      <c r="B27" s="6" t="inlineStr">
        <is>
          <t>TXN-20260801-012</t>
        </is>
      </c>
      <c r="C27" s="6" t="n">
        <v>2</v>
      </c>
      <c r="D27" s="6" t="inlineStr">
        <is>
          <t>PROD-101</t>
        </is>
      </c>
      <c r="E27" s="8" t="inlineStr">
        <is>
          <t>Notebook Pro 15</t>
        </is>
      </c>
      <c r="F27" s="6" t="inlineStr">
        <is>
          <t>Tecnología</t>
        </is>
      </c>
      <c r="G27" s="11" t="n">
        <v>3</v>
      </c>
      <c r="H27" s="9" t="n">
        <v>850000</v>
      </c>
      <c r="I27" s="9" t="n">
        <v>620000</v>
      </c>
      <c r="J27" s="9" t="n">
        <v>0</v>
      </c>
      <c r="K27" s="9">
        <f>(G27*H27)-J27</f>
        <v/>
      </c>
      <c r="L27" s="9">
        <f>G27*I27</f>
        <v/>
      </c>
      <c r="M27" s="9">
        <f>K27-L27</f>
        <v/>
      </c>
    </row>
    <row r="28">
      <c r="A28" s="2" t="n">
        <v>27</v>
      </c>
      <c r="B28" s="2" t="inlineStr">
        <is>
          <t>TXN-20260801-012</t>
        </is>
      </c>
      <c r="C28" s="2" t="n">
        <v>3</v>
      </c>
      <c r="D28" s="2" t="inlineStr">
        <is>
          <t>PROD-102</t>
        </is>
      </c>
      <c r="E28" s="4" t="inlineStr">
        <is>
          <t>Monitor 27 UHD</t>
        </is>
      </c>
      <c r="F28" s="2" t="inlineStr">
        <is>
          <t>Tecnología</t>
        </is>
      </c>
      <c r="G28" s="10" t="n">
        <v>3</v>
      </c>
      <c r="H28" s="5" t="n">
        <v>280000</v>
      </c>
      <c r="I28" s="5" t="n">
        <v>190000</v>
      </c>
      <c r="J28" s="5" t="n">
        <v>0</v>
      </c>
      <c r="K28" s="5">
        <f>(G28*H28)-J28</f>
        <v/>
      </c>
      <c r="L28" s="5">
        <f>G28*I28</f>
        <v/>
      </c>
      <c r="M28" s="5">
        <f>K28-L28</f>
        <v/>
      </c>
    </row>
    <row r="29">
      <c r="A29" s="6" t="n">
        <v>28</v>
      </c>
      <c r="B29" s="6" t="inlineStr">
        <is>
          <t>TXN-20260801-012</t>
        </is>
      </c>
      <c r="C29" s="6" t="n">
        <v>4</v>
      </c>
      <c r="D29" s="6" t="inlineStr">
        <is>
          <t>PROD-102</t>
        </is>
      </c>
      <c r="E29" s="8" t="inlineStr">
        <is>
          <t>Monitor 27 UHD</t>
        </is>
      </c>
      <c r="F29" s="6" t="inlineStr">
        <is>
          <t>Tecnología</t>
        </is>
      </c>
      <c r="G29" s="11" t="n">
        <v>2</v>
      </c>
      <c r="H29" s="9" t="n">
        <v>280000</v>
      </c>
      <c r="I29" s="9" t="n">
        <v>190000</v>
      </c>
      <c r="J29" s="9" t="n">
        <v>56000</v>
      </c>
      <c r="K29" s="9">
        <f>(G29*H29)-J29</f>
        <v/>
      </c>
      <c r="L29" s="9">
        <f>G29*I29</f>
        <v/>
      </c>
      <c r="M29" s="9">
        <f>K29-L29</f>
        <v/>
      </c>
    </row>
    <row r="30">
      <c r="A30" s="2" t="n">
        <v>29</v>
      </c>
      <c r="B30" s="2" t="inlineStr">
        <is>
          <t>TXN-20260801-013</t>
        </is>
      </c>
      <c r="C30" s="2" t="n">
        <v>1</v>
      </c>
      <c r="D30" s="2" t="inlineStr">
        <is>
          <t>PROD-107</t>
        </is>
      </c>
      <c r="E30" s="4" t="inlineStr">
        <is>
          <t>Escritorio Ajustable</t>
        </is>
      </c>
      <c r="F30" s="2" t="inlineStr">
        <is>
          <t>Muebles</t>
        </is>
      </c>
      <c r="G30" s="10" t="n">
        <v>1</v>
      </c>
      <c r="H30" s="5" t="n">
        <v>240000</v>
      </c>
      <c r="I30" s="5" t="n">
        <v>150000</v>
      </c>
      <c r="J30" s="5" t="n">
        <v>12000</v>
      </c>
      <c r="K30" s="5">
        <f>(G30*H30)-J30</f>
        <v/>
      </c>
      <c r="L30" s="5">
        <f>G30*I30</f>
        <v/>
      </c>
      <c r="M30" s="5">
        <f>K30-L30</f>
        <v/>
      </c>
    </row>
    <row r="31">
      <c r="A31" s="6" t="n">
        <v>30</v>
      </c>
      <c r="B31" s="6" t="inlineStr">
        <is>
          <t>TXN-20260801-014</t>
        </is>
      </c>
      <c r="C31" s="6" t="n">
        <v>1</v>
      </c>
      <c r="D31" s="6" t="inlineStr">
        <is>
          <t>PROD-108</t>
        </is>
      </c>
      <c r="E31" s="8" t="inlineStr">
        <is>
          <t>Webcam 4K Ultra</t>
        </is>
      </c>
      <c r="F31" s="6" t="inlineStr">
        <is>
          <t>Tecnología</t>
        </is>
      </c>
      <c r="G31" s="11" t="n">
        <v>3</v>
      </c>
      <c r="H31" s="9" t="n">
        <v>75000</v>
      </c>
      <c r="I31" s="9" t="n">
        <v>42000</v>
      </c>
      <c r="J31" s="9" t="n">
        <v>11250</v>
      </c>
      <c r="K31" s="9">
        <f>(G31*H31)-J31</f>
        <v/>
      </c>
      <c r="L31" s="9">
        <f>G31*I31</f>
        <v/>
      </c>
      <c r="M31" s="9">
        <f>K31-L31</f>
        <v/>
      </c>
    </row>
    <row r="32">
      <c r="A32" s="2" t="n">
        <v>31</v>
      </c>
      <c r="B32" s="2" t="inlineStr">
        <is>
          <t>TXN-20260801-014</t>
        </is>
      </c>
      <c r="C32" s="2" t="n">
        <v>2</v>
      </c>
      <c r="D32" s="2" t="inlineStr">
        <is>
          <t>PROD-104</t>
        </is>
      </c>
      <c r="E32" s="4" t="inlineStr">
        <is>
          <t>Mouse Inalámbrico</t>
        </is>
      </c>
      <c r="F32" s="2" t="inlineStr">
        <is>
          <t>Accesorios</t>
        </is>
      </c>
      <c r="G32" s="10" t="n">
        <v>2</v>
      </c>
      <c r="H32" s="5" t="n">
        <v>25000</v>
      </c>
      <c r="I32" s="5" t="n">
        <v>11000</v>
      </c>
      <c r="J32" s="5" t="n">
        <v>0</v>
      </c>
      <c r="K32" s="5">
        <f>(G32*H32)-J32</f>
        <v/>
      </c>
      <c r="L32" s="5">
        <f>G32*I32</f>
        <v/>
      </c>
      <c r="M32" s="5">
        <f>K32-L32</f>
        <v/>
      </c>
    </row>
    <row r="33">
      <c r="A33" s="6" t="n">
        <v>32</v>
      </c>
      <c r="B33" s="6" t="inlineStr">
        <is>
          <t>TXN-20260801-014</t>
        </is>
      </c>
      <c r="C33" s="6" t="n">
        <v>3</v>
      </c>
      <c r="D33" s="6" t="inlineStr">
        <is>
          <t>PROD-107</t>
        </is>
      </c>
      <c r="E33" s="8" t="inlineStr">
        <is>
          <t>Escritorio Ajustable</t>
        </is>
      </c>
      <c r="F33" s="6" t="inlineStr">
        <is>
          <t>Muebles</t>
        </is>
      </c>
      <c r="G33" s="11" t="n">
        <v>3</v>
      </c>
      <c r="H33" s="9" t="n">
        <v>240000</v>
      </c>
      <c r="I33" s="9" t="n">
        <v>150000</v>
      </c>
      <c r="J33" s="9" t="n">
        <v>0</v>
      </c>
      <c r="K33" s="9">
        <f>(G33*H33)-J33</f>
        <v/>
      </c>
      <c r="L33" s="9">
        <f>G33*I33</f>
        <v/>
      </c>
      <c r="M33" s="9">
        <f>K33-L33</f>
        <v/>
      </c>
    </row>
    <row r="34">
      <c r="A34" s="2" t="n">
        <v>33</v>
      </c>
      <c r="B34" s="2" t="inlineStr">
        <is>
          <t>TXN-20260801-014</t>
        </is>
      </c>
      <c r="C34" s="2" t="n">
        <v>4</v>
      </c>
      <c r="D34" s="2" t="inlineStr">
        <is>
          <t>PROD-102</t>
        </is>
      </c>
      <c r="E34" s="4" t="inlineStr">
        <is>
          <t>Monitor 27 UHD</t>
        </is>
      </c>
      <c r="F34" s="2" t="inlineStr">
        <is>
          <t>Tecnología</t>
        </is>
      </c>
      <c r="G34" s="10" t="n">
        <v>2</v>
      </c>
      <c r="H34" s="5" t="n">
        <v>280000</v>
      </c>
      <c r="I34" s="5" t="n">
        <v>190000</v>
      </c>
      <c r="J34" s="5" t="n">
        <v>0</v>
      </c>
      <c r="K34" s="5">
        <f>(G34*H34)-J34</f>
        <v/>
      </c>
      <c r="L34" s="5">
        <f>G34*I34</f>
        <v/>
      </c>
      <c r="M34" s="5">
        <f>K34-L34</f>
        <v/>
      </c>
    </row>
    <row r="35">
      <c r="A35" s="6" t="n">
        <v>34</v>
      </c>
      <c r="B35" s="6" t="inlineStr">
        <is>
          <t>TXN-20260801-015</t>
        </is>
      </c>
      <c r="C35" s="6" t="n">
        <v>1</v>
      </c>
      <c r="D35" s="6" t="inlineStr">
        <is>
          <t>PROD-102</t>
        </is>
      </c>
      <c r="E35" s="8" t="inlineStr">
        <is>
          <t>Monitor 27 UHD</t>
        </is>
      </c>
      <c r="F35" s="6" t="inlineStr">
        <is>
          <t>Tecnología</t>
        </is>
      </c>
      <c r="G35" s="11" t="n">
        <v>1</v>
      </c>
      <c r="H35" s="9" t="n">
        <v>280000</v>
      </c>
      <c r="I35" s="9" t="n">
        <v>190000</v>
      </c>
      <c r="J35" s="9" t="n">
        <v>0</v>
      </c>
      <c r="K35" s="9">
        <f>(G35*H35)-J35</f>
        <v/>
      </c>
      <c r="L35" s="9">
        <f>G35*I35</f>
        <v/>
      </c>
      <c r="M35" s="9">
        <f>K35-L35</f>
        <v/>
      </c>
    </row>
    <row r="36">
      <c r="A36" s="2" t="n">
        <v>35</v>
      </c>
      <c r="B36" s="2" t="inlineStr">
        <is>
          <t>TXN-20260801-015</t>
        </is>
      </c>
      <c r="C36" s="2" t="n">
        <v>2</v>
      </c>
      <c r="D36" s="2" t="inlineStr">
        <is>
          <t>PROD-106</t>
        </is>
      </c>
      <c r="E36" s="4" t="inlineStr">
        <is>
          <t>Silla Ergonómica Oficina</t>
        </is>
      </c>
      <c r="F36" s="2" t="inlineStr">
        <is>
          <t>Muebles</t>
        </is>
      </c>
      <c r="G36" s="10" t="n">
        <v>1</v>
      </c>
      <c r="H36" s="5" t="n">
        <v>185000</v>
      </c>
      <c r="I36" s="5" t="n">
        <v>115000</v>
      </c>
      <c r="J36" s="5" t="n">
        <v>9250</v>
      </c>
      <c r="K36" s="5">
        <f>(G36*H36)-J36</f>
        <v/>
      </c>
      <c r="L36" s="5">
        <f>G36*I36</f>
        <v/>
      </c>
      <c r="M36" s="5">
        <f>K36-L36</f>
        <v/>
      </c>
    </row>
    <row r="37">
      <c r="A37" s="6" t="n">
        <v>36</v>
      </c>
      <c r="B37" s="6" t="inlineStr">
        <is>
          <t>TXN-20260801-016</t>
        </is>
      </c>
      <c r="C37" s="6" t="n">
        <v>1</v>
      </c>
      <c r="D37" s="6" t="inlineStr">
        <is>
          <t>PROD-101</t>
        </is>
      </c>
      <c r="E37" s="8" t="inlineStr">
        <is>
          <t>Notebook Pro 15</t>
        </is>
      </c>
      <c r="F37" s="6" t="inlineStr">
        <is>
          <t>Tecnología</t>
        </is>
      </c>
      <c r="G37" s="11" t="n">
        <v>3</v>
      </c>
      <c r="H37" s="9" t="n">
        <v>850000</v>
      </c>
      <c r="I37" s="9" t="n">
        <v>620000</v>
      </c>
      <c r="J37" s="9" t="n">
        <v>127500</v>
      </c>
      <c r="K37" s="9">
        <f>(G37*H37)-J37</f>
        <v/>
      </c>
      <c r="L37" s="9">
        <f>G37*I37</f>
        <v/>
      </c>
      <c r="M37" s="9">
        <f>K37-L37</f>
        <v/>
      </c>
    </row>
    <row r="38">
      <c r="A38" s="2" t="n">
        <v>37</v>
      </c>
      <c r="B38" s="2" t="inlineStr">
        <is>
          <t>TXN-20260801-016</t>
        </is>
      </c>
      <c r="C38" s="2" t="n">
        <v>2</v>
      </c>
      <c r="D38" s="2" t="inlineStr">
        <is>
          <t>PROD-104</t>
        </is>
      </c>
      <c r="E38" s="4" t="inlineStr">
        <is>
          <t>Mouse Inalámbrico</t>
        </is>
      </c>
      <c r="F38" s="2" t="inlineStr">
        <is>
          <t>Accesorios</t>
        </is>
      </c>
      <c r="G38" s="10" t="n">
        <v>3</v>
      </c>
      <c r="H38" s="5" t="n">
        <v>25000</v>
      </c>
      <c r="I38" s="5" t="n">
        <v>11000</v>
      </c>
      <c r="J38" s="5" t="n">
        <v>3750</v>
      </c>
      <c r="K38" s="5">
        <f>(G38*H38)-J38</f>
        <v/>
      </c>
      <c r="L38" s="5">
        <f>G38*I38</f>
        <v/>
      </c>
      <c r="M38" s="5">
        <f>K38-L38</f>
        <v/>
      </c>
    </row>
    <row r="39">
      <c r="A39" s="6" t="n">
        <v>38</v>
      </c>
      <c r="B39" s="6" t="inlineStr">
        <is>
          <t>TXN-20260801-016</t>
        </is>
      </c>
      <c r="C39" s="6" t="n">
        <v>3</v>
      </c>
      <c r="D39" s="6" t="inlineStr">
        <is>
          <t>PROD-105</t>
        </is>
      </c>
      <c r="E39" s="8" t="inlineStr">
        <is>
          <t>Auriculares Bluetooth</t>
        </is>
      </c>
      <c r="F39" s="6" t="inlineStr">
        <is>
          <t>Audio</t>
        </is>
      </c>
      <c r="G39" s="11" t="n">
        <v>3</v>
      </c>
      <c r="H39" s="9" t="n">
        <v>65000</v>
      </c>
      <c r="I39" s="9" t="n">
        <v>35000</v>
      </c>
      <c r="J39" s="9" t="n">
        <v>0</v>
      </c>
      <c r="K39" s="9">
        <f>(G39*H39)-J39</f>
        <v/>
      </c>
      <c r="L39" s="9">
        <f>G39*I39</f>
        <v/>
      </c>
      <c r="M39" s="9">
        <f>K39-L39</f>
        <v/>
      </c>
    </row>
    <row r="40">
      <c r="A40" s="2" t="n">
        <v>39</v>
      </c>
      <c r="B40" s="2" t="inlineStr">
        <is>
          <t>TXN-20260801-016</t>
        </is>
      </c>
      <c r="C40" s="2" t="n">
        <v>4</v>
      </c>
      <c r="D40" s="2" t="inlineStr">
        <is>
          <t>PROD-102</t>
        </is>
      </c>
      <c r="E40" s="4" t="inlineStr">
        <is>
          <t>Monitor 27 UHD</t>
        </is>
      </c>
      <c r="F40" s="2" t="inlineStr">
        <is>
          <t>Tecnología</t>
        </is>
      </c>
      <c r="G40" s="10" t="n">
        <v>3</v>
      </c>
      <c r="H40" s="5" t="n">
        <v>280000</v>
      </c>
      <c r="I40" s="5" t="n">
        <v>190000</v>
      </c>
      <c r="J40" s="5" t="n">
        <v>84000</v>
      </c>
      <c r="K40" s="5">
        <f>(G40*H40)-J40</f>
        <v/>
      </c>
      <c r="L40" s="5">
        <f>G40*I40</f>
        <v/>
      </c>
      <c r="M40" s="5">
        <f>K40-L40</f>
        <v/>
      </c>
    </row>
    <row r="41">
      <c r="A41" s="6" t="n">
        <v>40</v>
      </c>
      <c r="B41" s="6" t="inlineStr">
        <is>
          <t>TXN-20260801-017</t>
        </is>
      </c>
      <c r="C41" s="6" t="n">
        <v>1</v>
      </c>
      <c r="D41" s="6" t="inlineStr">
        <is>
          <t>PROD-103</t>
        </is>
      </c>
      <c r="E41" s="8" t="inlineStr">
        <is>
          <t>Teclado Mecánico RGB</t>
        </is>
      </c>
      <c r="F41" s="6" t="inlineStr">
        <is>
          <t>Accesorios</t>
        </is>
      </c>
      <c r="G41" s="11" t="n">
        <v>2</v>
      </c>
      <c r="H41" s="9" t="n">
        <v>45000</v>
      </c>
      <c r="I41" s="9" t="n">
        <v>22000</v>
      </c>
      <c r="J41" s="9" t="n">
        <v>0</v>
      </c>
      <c r="K41" s="9">
        <f>(G41*H41)-J41</f>
        <v/>
      </c>
      <c r="L41" s="9">
        <f>G41*I41</f>
        <v/>
      </c>
      <c r="M41" s="9">
        <f>K41-L41</f>
        <v/>
      </c>
    </row>
    <row r="42">
      <c r="A42" s="2" t="n">
        <v>41</v>
      </c>
      <c r="B42" s="2" t="inlineStr">
        <is>
          <t>TXN-20260801-017</t>
        </is>
      </c>
      <c r="C42" s="2" t="n">
        <v>2</v>
      </c>
      <c r="D42" s="2" t="inlineStr">
        <is>
          <t>PROD-103</t>
        </is>
      </c>
      <c r="E42" s="4" t="inlineStr">
        <is>
          <t>Teclado Mecánico RGB</t>
        </is>
      </c>
      <c r="F42" s="2" t="inlineStr">
        <is>
          <t>Accesorios</t>
        </is>
      </c>
      <c r="G42" s="10" t="n">
        <v>1</v>
      </c>
      <c r="H42" s="5" t="n">
        <v>45000</v>
      </c>
      <c r="I42" s="5" t="n">
        <v>22000</v>
      </c>
      <c r="J42" s="5" t="n">
        <v>0</v>
      </c>
      <c r="K42" s="5">
        <f>(G42*H42)-J42</f>
        <v/>
      </c>
      <c r="L42" s="5">
        <f>G42*I42</f>
        <v/>
      </c>
      <c r="M42" s="5">
        <f>K42-L42</f>
        <v/>
      </c>
    </row>
    <row r="43">
      <c r="A43" s="6" t="n">
        <v>42</v>
      </c>
      <c r="B43" s="6" t="inlineStr">
        <is>
          <t>TXN-20260801-017</t>
        </is>
      </c>
      <c r="C43" s="6" t="n">
        <v>3</v>
      </c>
      <c r="D43" s="6" t="inlineStr">
        <is>
          <t>PROD-106</t>
        </is>
      </c>
      <c r="E43" s="8" t="inlineStr">
        <is>
          <t>Silla Ergonómica Oficina</t>
        </is>
      </c>
      <c r="F43" s="6" t="inlineStr">
        <is>
          <t>Muebles</t>
        </is>
      </c>
      <c r="G43" s="11" t="n">
        <v>3</v>
      </c>
      <c r="H43" s="9" t="n">
        <v>185000</v>
      </c>
      <c r="I43" s="9" t="n">
        <v>115000</v>
      </c>
      <c r="J43" s="9" t="n">
        <v>0</v>
      </c>
      <c r="K43" s="9">
        <f>(G43*H43)-J43</f>
        <v/>
      </c>
      <c r="L43" s="9">
        <f>G43*I43</f>
        <v/>
      </c>
      <c r="M43" s="9">
        <f>K43-L43</f>
        <v/>
      </c>
    </row>
    <row r="44">
      <c r="A44" s="2" t="n">
        <v>43</v>
      </c>
      <c r="B44" s="2" t="inlineStr">
        <is>
          <t>TXN-20260801-018</t>
        </is>
      </c>
      <c r="C44" s="2" t="n">
        <v>1</v>
      </c>
      <c r="D44" s="2" t="inlineStr">
        <is>
          <t>PROD-108</t>
        </is>
      </c>
      <c r="E44" s="4" t="inlineStr">
        <is>
          <t>Webcam 4K Ultra</t>
        </is>
      </c>
      <c r="F44" s="2" t="inlineStr">
        <is>
          <t>Tecnología</t>
        </is>
      </c>
      <c r="G44" s="10" t="n">
        <v>1</v>
      </c>
      <c r="H44" s="5" t="n">
        <v>75000</v>
      </c>
      <c r="I44" s="5" t="n">
        <v>42000</v>
      </c>
      <c r="J44" s="5" t="n">
        <v>0</v>
      </c>
      <c r="K44" s="5">
        <f>(G44*H44)-J44</f>
        <v/>
      </c>
      <c r="L44" s="5">
        <f>G44*I44</f>
        <v/>
      </c>
      <c r="M44" s="5">
        <f>K44-L44</f>
        <v/>
      </c>
    </row>
    <row r="45">
      <c r="A45" s="6" t="n">
        <v>44</v>
      </c>
      <c r="B45" s="6" t="inlineStr">
        <is>
          <t>TXN-20260801-018</t>
        </is>
      </c>
      <c r="C45" s="6" t="n">
        <v>2</v>
      </c>
      <c r="D45" s="6" t="inlineStr">
        <is>
          <t>PROD-108</t>
        </is>
      </c>
      <c r="E45" s="8" t="inlineStr">
        <is>
          <t>Webcam 4K Ultra</t>
        </is>
      </c>
      <c r="F45" s="6" t="inlineStr">
        <is>
          <t>Tecnología</t>
        </is>
      </c>
      <c r="G45" s="11" t="n">
        <v>3</v>
      </c>
      <c r="H45" s="9" t="n">
        <v>75000</v>
      </c>
      <c r="I45" s="9" t="n">
        <v>42000</v>
      </c>
      <c r="J45" s="9" t="n">
        <v>0</v>
      </c>
      <c r="K45" s="9">
        <f>(G45*H45)-J45</f>
        <v/>
      </c>
      <c r="L45" s="9">
        <f>G45*I45</f>
        <v/>
      </c>
      <c r="M45" s="9">
        <f>K45-L45</f>
        <v/>
      </c>
    </row>
    <row r="46">
      <c r="A46" s="2" t="n">
        <v>45</v>
      </c>
      <c r="B46" s="2" t="inlineStr">
        <is>
          <t>TXN-20260801-019</t>
        </is>
      </c>
      <c r="C46" s="2" t="n">
        <v>1</v>
      </c>
      <c r="D46" s="2" t="inlineStr">
        <is>
          <t>PROD-108</t>
        </is>
      </c>
      <c r="E46" s="4" t="inlineStr">
        <is>
          <t>Webcam 4K Ultra</t>
        </is>
      </c>
      <c r="F46" s="2" t="inlineStr">
        <is>
          <t>Tecnología</t>
        </is>
      </c>
      <c r="G46" s="10" t="n">
        <v>3</v>
      </c>
      <c r="H46" s="5" t="n">
        <v>75000</v>
      </c>
      <c r="I46" s="5" t="n">
        <v>42000</v>
      </c>
      <c r="J46" s="5" t="n">
        <v>11250</v>
      </c>
      <c r="K46" s="5">
        <f>(G46*H46)-J46</f>
        <v/>
      </c>
      <c r="L46" s="5">
        <f>G46*I46</f>
        <v/>
      </c>
      <c r="M46" s="5">
        <f>K46-L46</f>
        <v/>
      </c>
    </row>
    <row r="47">
      <c r="A47" s="6" t="n">
        <v>46</v>
      </c>
      <c r="B47" s="6" t="inlineStr">
        <is>
          <t>TXN-20260801-019</t>
        </is>
      </c>
      <c r="C47" s="6" t="n">
        <v>2</v>
      </c>
      <c r="D47" s="6" t="inlineStr">
        <is>
          <t>PROD-108</t>
        </is>
      </c>
      <c r="E47" s="8" t="inlineStr">
        <is>
          <t>Webcam 4K Ultra</t>
        </is>
      </c>
      <c r="F47" s="6" t="inlineStr">
        <is>
          <t>Tecnología</t>
        </is>
      </c>
      <c r="G47" s="11" t="n">
        <v>1</v>
      </c>
      <c r="H47" s="9" t="n">
        <v>75000</v>
      </c>
      <c r="I47" s="9" t="n">
        <v>42000</v>
      </c>
      <c r="J47" s="9" t="n">
        <v>3750</v>
      </c>
      <c r="K47" s="9">
        <f>(G47*H47)-J47</f>
        <v/>
      </c>
      <c r="L47" s="9">
        <f>G47*I47</f>
        <v/>
      </c>
      <c r="M47" s="9">
        <f>K47-L47</f>
        <v/>
      </c>
    </row>
    <row r="48">
      <c r="A48" s="2" t="n">
        <v>47</v>
      </c>
      <c r="B48" s="2" t="inlineStr">
        <is>
          <t>TXN-20260801-019</t>
        </is>
      </c>
      <c r="C48" s="2" t="n">
        <v>3</v>
      </c>
      <c r="D48" s="2" t="inlineStr">
        <is>
          <t>PROD-106</t>
        </is>
      </c>
      <c r="E48" s="4" t="inlineStr">
        <is>
          <t>Silla Ergonómica Oficina</t>
        </is>
      </c>
      <c r="F48" s="2" t="inlineStr">
        <is>
          <t>Muebles</t>
        </is>
      </c>
      <c r="G48" s="10" t="n">
        <v>2</v>
      </c>
      <c r="H48" s="5" t="n">
        <v>185000</v>
      </c>
      <c r="I48" s="5" t="n">
        <v>115000</v>
      </c>
      <c r="J48" s="5" t="n">
        <v>0</v>
      </c>
      <c r="K48" s="5">
        <f>(G48*H48)-J48</f>
        <v/>
      </c>
      <c r="L48" s="5">
        <f>G48*I48</f>
        <v/>
      </c>
      <c r="M48" s="5">
        <f>K48-L48</f>
        <v/>
      </c>
    </row>
    <row r="49">
      <c r="A49" s="6" t="n">
        <v>48</v>
      </c>
      <c r="B49" s="6" t="inlineStr">
        <is>
          <t>TXN-20260801-019</t>
        </is>
      </c>
      <c r="C49" s="6" t="n">
        <v>4</v>
      </c>
      <c r="D49" s="6" t="inlineStr">
        <is>
          <t>PROD-102</t>
        </is>
      </c>
      <c r="E49" s="8" t="inlineStr">
        <is>
          <t>Monitor 27 UHD</t>
        </is>
      </c>
      <c r="F49" s="6" t="inlineStr">
        <is>
          <t>Tecnología</t>
        </is>
      </c>
      <c r="G49" s="11" t="n">
        <v>3</v>
      </c>
      <c r="H49" s="9" t="n">
        <v>280000</v>
      </c>
      <c r="I49" s="9" t="n">
        <v>190000</v>
      </c>
      <c r="J49" s="9" t="n">
        <v>0</v>
      </c>
      <c r="K49" s="9">
        <f>(G49*H49)-J49</f>
        <v/>
      </c>
      <c r="L49" s="9">
        <f>G49*I49</f>
        <v/>
      </c>
      <c r="M49" s="9">
        <f>K49-L49</f>
        <v/>
      </c>
    </row>
    <row r="50">
      <c r="A50" s="2" t="n">
        <v>49</v>
      </c>
      <c r="B50" s="2" t="inlineStr">
        <is>
          <t>TXN-20260801-020</t>
        </is>
      </c>
      <c r="C50" s="2" t="n">
        <v>1</v>
      </c>
      <c r="D50" s="2" t="inlineStr">
        <is>
          <t>PROD-105</t>
        </is>
      </c>
      <c r="E50" s="4" t="inlineStr">
        <is>
          <t>Auriculares Bluetooth</t>
        </is>
      </c>
      <c r="F50" s="2" t="inlineStr">
        <is>
          <t>Audio</t>
        </is>
      </c>
      <c r="G50" s="10" t="n">
        <v>2</v>
      </c>
      <c r="H50" s="5" t="n">
        <v>65000</v>
      </c>
      <c r="I50" s="5" t="n">
        <v>35000</v>
      </c>
      <c r="J50" s="5" t="n">
        <v>6500</v>
      </c>
      <c r="K50" s="5">
        <f>(G50*H50)-J50</f>
        <v/>
      </c>
      <c r="L50" s="5">
        <f>G50*I50</f>
        <v/>
      </c>
      <c r="M50" s="5">
        <f>K50-L50</f>
        <v/>
      </c>
    </row>
    <row r="51">
      <c r="A51" s="6" t="n">
        <v>50</v>
      </c>
      <c r="B51" s="6" t="inlineStr">
        <is>
          <t>TXN-20260801-021</t>
        </is>
      </c>
      <c r="C51" s="6" t="n">
        <v>1</v>
      </c>
      <c r="D51" s="6" t="inlineStr">
        <is>
          <t>PROD-105</t>
        </is>
      </c>
      <c r="E51" s="8" t="inlineStr">
        <is>
          <t>Auriculares Bluetooth</t>
        </is>
      </c>
      <c r="F51" s="6" t="inlineStr">
        <is>
          <t>Audio</t>
        </is>
      </c>
      <c r="G51" s="11" t="n">
        <v>1</v>
      </c>
      <c r="H51" s="9" t="n">
        <v>65000</v>
      </c>
      <c r="I51" s="9" t="n">
        <v>35000</v>
      </c>
      <c r="J51" s="9" t="n">
        <v>6500</v>
      </c>
      <c r="K51" s="9">
        <f>(G51*H51)-J51</f>
        <v/>
      </c>
      <c r="L51" s="9">
        <f>G51*I51</f>
        <v/>
      </c>
      <c r="M51" s="9">
        <f>K51-L51</f>
        <v/>
      </c>
    </row>
    <row r="52">
      <c r="A52" s="2" t="n">
        <v>51</v>
      </c>
      <c r="B52" s="2" t="inlineStr">
        <is>
          <t>TXN-20260801-021</t>
        </is>
      </c>
      <c r="C52" s="2" t="n">
        <v>2</v>
      </c>
      <c r="D52" s="2" t="inlineStr">
        <is>
          <t>PROD-101</t>
        </is>
      </c>
      <c r="E52" s="4" t="inlineStr">
        <is>
          <t>Notebook Pro 15</t>
        </is>
      </c>
      <c r="F52" s="2" t="inlineStr">
        <is>
          <t>Tecnología</t>
        </is>
      </c>
      <c r="G52" s="10" t="n">
        <v>3</v>
      </c>
      <c r="H52" s="5" t="n">
        <v>850000</v>
      </c>
      <c r="I52" s="5" t="n">
        <v>620000</v>
      </c>
      <c r="J52" s="5" t="n">
        <v>255000</v>
      </c>
      <c r="K52" s="5">
        <f>(G52*H52)-J52</f>
        <v/>
      </c>
      <c r="L52" s="5">
        <f>G52*I52</f>
        <v/>
      </c>
      <c r="M52" s="5">
        <f>K52-L52</f>
        <v/>
      </c>
    </row>
    <row r="53">
      <c r="A53" s="6" t="n">
        <v>52</v>
      </c>
      <c r="B53" s="6" t="inlineStr">
        <is>
          <t>TXN-20260801-021</t>
        </is>
      </c>
      <c r="C53" s="6" t="n">
        <v>3</v>
      </c>
      <c r="D53" s="6" t="inlineStr">
        <is>
          <t>PROD-104</t>
        </is>
      </c>
      <c r="E53" s="8" t="inlineStr">
        <is>
          <t>Mouse Inalámbrico</t>
        </is>
      </c>
      <c r="F53" s="6" t="inlineStr">
        <is>
          <t>Accesorios</t>
        </is>
      </c>
      <c r="G53" s="11" t="n">
        <v>3</v>
      </c>
      <c r="H53" s="9" t="n">
        <v>25000</v>
      </c>
      <c r="I53" s="9" t="n">
        <v>11000</v>
      </c>
      <c r="J53" s="9" t="n">
        <v>0</v>
      </c>
      <c r="K53" s="9">
        <f>(G53*H53)-J53</f>
        <v/>
      </c>
      <c r="L53" s="9">
        <f>G53*I53</f>
        <v/>
      </c>
      <c r="M53" s="9">
        <f>K53-L53</f>
        <v/>
      </c>
    </row>
    <row r="54">
      <c r="A54" s="2" t="n">
        <v>53</v>
      </c>
      <c r="B54" s="2" t="inlineStr">
        <is>
          <t>TXN-20260801-021</t>
        </is>
      </c>
      <c r="C54" s="2" t="n">
        <v>4</v>
      </c>
      <c r="D54" s="2" t="inlineStr">
        <is>
          <t>PROD-105</t>
        </is>
      </c>
      <c r="E54" s="4" t="inlineStr">
        <is>
          <t>Auriculares Bluetooth</t>
        </is>
      </c>
      <c r="F54" s="2" t="inlineStr">
        <is>
          <t>Audio</t>
        </is>
      </c>
      <c r="G54" s="10" t="n">
        <v>1</v>
      </c>
      <c r="H54" s="5" t="n">
        <v>65000</v>
      </c>
      <c r="I54" s="5" t="n">
        <v>35000</v>
      </c>
      <c r="J54" s="5" t="n">
        <v>0</v>
      </c>
      <c r="K54" s="5">
        <f>(G54*H54)-J54</f>
        <v/>
      </c>
      <c r="L54" s="5">
        <f>G54*I54</f>
        <v/>
      </c>
      <c r="M54" s="5">
        <f>K54-L54</f>
        <v/>
      </c>
    </row>
    <row r="55">
      <c r="A55" s="6" t="n">
        <v>54</v>
      </c>
      <c r="B55" s="6" t="inlineStr">
        <is>
          <t>TXN-20260801-022</t>
        </is>
      </c>
      <c r="C55" s="6" t="n">
        <v>1</v>
      </c>
      <c r="D55" s="6" t="inlineStr">
        <is>
          <t>PROD-106</t>
        </is>
      </c>
      <c r="E55" s="8" t="inlineStr">
        <is>
          <t>Silla Ergonómica Oficina</t>
        </is>
      </c>
      <c r="F55" s="6" t="inlineStr">
        <is>
          <t>Muebles</t>
        </is>
      </c>
      <c r="G55" s="11" t="n">
        <v>3</v>
      </c>
      <c r="H55" s="9" t="n">
        <v>185000</v>
      </c>
      <c r="I55" s="9" t="n">
        <v>115000</v>
      </c>
      <c r="J55" s="9" t="n">
        <v>0</v>
      </c>
      <c r="K55" s="9">
        <f>(G55*H55)-J55</f>
        <v/>
      </c>
      <c r="L55" s="9">
        <f>G55*I55</f>
        <v/>
      </c>
      <c r="M55" s="9">
        <f>K55-L55</f>
        <v/>
      </c>
    </row>
    <row r="56">
      <c r="A56" s="2" t="n">
        <v>55</v>
      </c>
      <c r="B56" s="2" t="inlineStr">
        <is>
          <t>TXN-20260801-023</t>
        </is>
      </c>
      <c r="C56" s="2" t="n">
        <v>1</v>
      </c>
      <c r="D56" s="2" t="inlineStr">
        <is>
          <t>PROD-101</t>
        </is>
      </c>
      <c r="E56" s="4" t="inlineStr">
        <is>
          <t>Notebook Pro 15</t>
        </is>
      </c>
      <c r="F56" s="2" t="inlineStr">
        <is>
          <t>Tecnología</t>
        </is>
      </c>
      <c r="G56" s="10" t="n">
        <v>2</v>
      </c>
      <c r="H56" s="5" t="n">
        <v>850000</v>
      </c>
      <c r="I56" s="5" t="n">
        <v>620000</v>
      </c>
      <c r="J56" s="5" t="n">
        <v>170000</v>
      </c>
      <c r="K56" s="5">
        <f>(G56*H56)-J56</f>
        <v/>
      </c>
      <c r="L56" s="5">
        <f>G56*I56</f>
        <v/>
      </c>
      <c r="M56" s="5">
        <f>K56-L56</f>
        <v/>
      </c>
    </row>
    <row r="57">
      <c r="A57" s="6" t="n">
        <v>56</v>
      </c>
      <c r="B57" s="6" t="inlineStr">
        <is>
          <t>TXN-20260801-023</t>
        </is>
      </c>
      <c r="C57" s="6" t="n">
        <v>2</v>
      </c>
      <c r="D57" s="6" t="inlineStr">
        <is>
          <t>PROD-106</t>
        </is>
      </c>
      <c r="E57" s="8" t="inlineStr">
        <is>
          <t>Silla Ergonómica Oficina</t>
        </is>
      </c>
      <c r="F57" s="6" t="inlineStr">
        <is>
          <t>Muebles</t>
        </is>
      </c>
      <c r="G57" s="11" t="n">
        <v>1</v>
      </c>
      <c r="H57" s="9" t="n">
        <v>185000</v>
      </c>
      <c r="I57" s="9" t="n">
        <v>115000</v>
      </c>
      <c r="J57" s="9" t="n">
        <v>0</v>
      </c>
      <c r="K57" s="9">
        <f>(G57*H57)-J57</f>
        <v/>
      </c>
      <c r="L57" s="9">
        <f>G57*I57</f>
        <v/>
      </c>
      <c r="M57" s="9">
        <f>K57-L57</f>
        <v/>
      </c>
    </row>
    <row r="58">
      <c r="A58" s="2" t="n">
        <v>57</v>
      </c>
      <c r="B58" s="2" t="inlineStr">
        <is>
          <t>TXN-20260801-024</t>
        </is>
      </c>
      <c r="C58" s="2" t="n">
        <v>1</v>
      </c>
      <c r="D58" s="2" t="inlineStr">
        <is>
          <t>PROD-108</t>
        </is>
      </c>
      <c r="E58" s="4" t="inlineStr">
        <is>
          <t>Webcam 4K Ultra</t>
        </is>
      </c>
      <c r="F58" s="2" t="inlineStr">
        <is>
          <t>Tecnología</t>
        </is>
      </c>
      <c r="G58" s="10" t="n">
        <v>2</v>
      </c>
      <c r="H58" s="5" t="n">
        <v>75000</v>
      </c>
      <c r="I58" s="5" t="n">
        <v>42000</v>
      </c>
      <c r="J58" s="5" t="n">
        <v>7500</v>
      </c>
      <c r="K58" s="5">
        <f>(G58*H58)-J58</f>
        <v/>
      </c>
      <c r="L58" s="5">
        <f>G58*I58</f>
        <v/>
      </c>
      <c r="M58" s="5">
        <f>K58-L58</f>
        <v/>
      </c>
    </row>
    <row r="59">
      <c r="A59" s="6" t="n">
        <v>58</v>
      </c>
      <c r="B59" s="6" t="inlineStr">
        <is>
          <t>TXN-20260801-024</t>
        </is>
      </c>
      <c r="C59" s="6" t="n">
        <v>2</v>
      </c>
      <c r="D59" s="6" t="inlineStr">
        <is>
          <t>PROD-103</t>
        </is>
      </c>
      <c r="E59" s="8" t="inlineStr">
        <is>
          <t>Teclado Mecánico RGB</t>
        </is>
      </c>
      <c r="F59" s="6" t="inlineStr">
        <is>
          <t>Accesorios</t>
        </is>
      </c>
      <c r="G59" s="11" t="n">
        <v>3</v>
      </c>
      <c r="H59" s="9" t="n">
        <v>45000</v>
      </c>
      <c r="I59" s="9" t="n">
        <v>22000</v>
      </c>
      <c r="J59" s="9" t="n">
        <v>0</v>
      </c>
      <c r="K59" s="9">
        <f>(G59*H59)-J59</f>
        <v/>
      </c>
      <c r="L59" s="9">
        <f>G59*I59</f>
        <v/>
      </c>
      <c r="M59" s="9">
        <f>K59-L59</f>
        <v/>
      </c>
    </row>
    <row r="60">
      <c r="A60" s="2" t="n">
        <v>59</v>
      </c>
      <c r="B60" s="2" t="inlineStr">
        <is>
          <t>TXN-20260801-024</t>
        </is>
      </c>
      <c r="C60" s="2" t="n">
        <v>3</v>
      </c>
      <c r="D60" s="2" t="inlineStr">
        <is>
          <t>PROD-104</t>
        </is>
      </c>
      <c r="E60" s="4" t="inlineStr">
        <is>
          <t>Mouse Inalámbrico</t>
        </is>
      </c>
      <c r="F60" s="2" t="inlineStr">
        <is>
          <t>Accesorios</t>
        </is>
      </c>
      <c r="G60" s="10" t="n">
        <v>3</v>
      </c>
      <c r="H60" s="5" t="n">
        <v>25000</v>
      </c>
      <c r="I60" s="5" t="n">
        <v>11000</v>
      </c>
      <c r="J60" s="5" t="n">
        <v>3750</v>
      </c>
      <c r="K60" s="5">
        <f>(G60*H60)-J60</f>
        <v/>
      </c>
      <c r="L60" s="5">
        <f>G60*I60</f>
        <v/>
      </c>
      <c r="M60" s="5">
        <f>K60-L60</f>
        <v/>
      </c>
    </row>
    <row r="61">
      <c r="A61" s="6" t="n">
        <v>60</v>
      </c>
      <c r="B61" s="6" t="inlineStr">
        <is>
          <t>TXN-20260801-025</t>
        </is>
      </c>
      <c r="C61" s="6" t="n">
        <v>1</v>
      </c>
      <c r="D61" s="6" t="inlineStr">
        <is>
          <t>PROD-103</t>
        </is>
      </c>
      <c r="E61" s="8" t="inlineStr">
        <is>
          <t>Teclado Mecánico RGB</t>
        </is>
      </c>
      <c r="F61" s="6" t="inlineStr">
        <is>
          <t>Accesorios</t>
        </is>
      </c>
      <c r="G61" s="11" t="n">
        <v>1</v>
      </c>
      <c r="H61" s="9" t="n">
        <v>45000</v>
      </c>
      <c r="I61" s="9" t="n">
        <v>22000</v>
      </c>
      <c r="J61" s="9" t="n">
        <v>0</v>
      </c>
      <c r="K61" s="9">
        <f>(G61*H61)-J61</f>
        <v/>
      </c>
      <c r="L61" s="9">
        <f>G61*I61</f>
        <v/>
      </c>
      <c r="M61" s="9">
        <f>K61-L61</f>
        <v/>
      </c>
    </row>
    <row r="62">
      <c r="A62" s="2" t="n">
        <v>61</v>
      </c>
      <c r="B62" s="2" t="inlineStr">
        <is>
          <t>TXN-20260801-025</t>
        </is>
      </c>
      <c r="C62" s="2" t="n">
        <v>2</v>
      </c>
      <c r="D62" s="2" t="inlineStr">
        <is>
          <t>PROD-104</t>
        </is>
      </c>
      <c r="E62" s="4" t="inlineStr">
        <is>
          <t>Mouse Inalámbrico</t>
        </is>
      </c>
      <c r="F62" s="2" t="inlineStr">
        <is>
          <t>Accesorios</t>
        </is>
      </c>
      <c r="G62" s="10" t="n">
        <v>1</v>
      </c>
      <c r="H62" s="5" t="n">
        <v>25000</v>
      </c>
      <c r="I62" s="5" t="n">
        <v>11000</v>
      </c>
      <c r="J62" s="5" t="n">
        <v>2500</v>
      </c>
      <c r="K62" s="5">
        <f>(G62*H62)-J62</f>
        <v/>
      </c>
      <c r="L62" s="5">
        <f>G62*I62</f>
        <v/>
      </c>
      <c r="M62" s="5">
        <f>K62-L62</f>
        <v/>
      </c>
    </row>
    <row r="63">
      <c r="A63" s="6" t="n">
        <v>62</v>
      </c>
      <c r="B63" s="6" t="inlineStr">
        <is>
          <t>TXN-20260801-026</t>
        </is>
      </c>
      <c r="C63" s="6" t="n">
        <v>1</v>
      </c>
      <c r="D63" s="6" t="inlineStr">
        <is>
          <t>PROD-107</t>
        </is>
      </c>
      <c r="E63" s="8" t="inlineStr">
        <is>
          <t>Escritorio Ajustable</t>
        </is>
      </c>
      <c r="F63" s="6" t="inlineStr">
        <is>
          <t>Muebles</t>
        </is>
      </c>
      <c r="G63" s="11" t="n">
        <v>3</v>
      </c>
      <c r="H63" s="9" t="n">
        <v>240000</v>
      </c>
      <c r="I63" s="9" t="n">
        <v>150000</v>
      </c>
      <c r="J63" s="9" t="n">
        <v>0</v>
      </c>
      <c r="K63" s="9">
        <f>(G63*H63)-J63</f>
        <v/>
      </c>
      <c r="L63" s="9">
        <f>G63*I63</f>
        <v/>
      </c>
      <c r="M63" s="9">
        <f>K63-L63</f>
        <v/>
      </c>
    </row>
    <row r="64">
      <c r="A64" s="2" t="n">
        <v>63</v>
      </c>
      <c r="B64" s="2" t="inlineStr">
        <is>
          <t>TXN-20260801-026</t>
        </is>
      </c>
      <c r="C64" s="2" t="n">
        <v>2</v>
      </c>
      <c r="D64" s="2" t="inlineStr">
        <is>
          <t>PROD-101</t>
        </is>
      </c>
      <c r="E64" s="4" t="inlineStr">
        <is>
          <t>Notebook Pro 15</t>
        </is>
      </c>
      <c r="F64" s="2" t="inlineStr">
        <is>
          <t>Tecnología</t>
        </is>
      </c>
      <c r="G64" s="10" t="n">
        <v>1</v>
      </c>
      <c r="H64" s="5" t="n">
        <v>850000</v>
      </c>
      <c r="I64" s="5" t="n">
        <v>620000</v>
      </c>
      <c r="J64" s="5" t="n">
        <v>42500</v>
      </c>
      <c r="K64" s="5">
        <f>(G64*H64)-J64</f>
        <v/>
      </c>
      <c r="L64" s="5">
        <f>G64*I64</f>
        <v/>
      </c>
      <c r="M64" s="5">
        <f>K64-L64</f>
        <v/>
      </c>
    </row>
    <row r="65">
      <c r="A65" s="6" t="n">
        <v>64</v>
      </c>
      <c r="B65" s="6" t="inlineStr">
        <is>
          <t>TXN-20260801-026</t>
        </is>
      </c>
      <c r="C65" s="6" t="n">
        <v>3</v>
      </c>
      <c r="D65" s="6" t="inlineStr">
        <is>
          <t>PROD-107</t>
        </is>
      </c>
      <c r="E65" s="8" t="inlineStr">
        <is>
          <t>Escritorio Ajustable</t>
        </is>
      </c>
      <c r="F65" s="6" t="inlineStr">
        <is>
          <t>Muebles</t>
        </is>
      </c>
      <c r="G65" s="11" t="n">
        <v>1</v>
      </c>
      <c r="H65" s="9" t="n">
        <v>240000</v>
      </c>
      <c r="I65" s="9" t="n">
        <v>150000</v>
      </c>
      <c r="J65" s="9" t="n">
        <v>0</v>
      </c>
      <c r="K65" s="9">
        <f>(G65*H65)-J65</f>
        <v/>
      </c>
      <c r="L65" s="9">
        <f>G65*I65</f>
        <v/>
      </c>
      <c r="M65" s="9">
        <f>K65-L65</f>
        <v/>
      </c>
    </row>
    <row r="66">
      <c r="A66" s="2" t="n">
        <v>65</v>
      </c>
      <c r="B66" s="2" t="inlineStr">
        <is>
          <t>TXN-20260801-026</t>
        </is>
      </c>
      <c r="C66" s="2" t="n">
        <v>4</v>
      </c>
      <c r="D66" s="2" t="inlineStr">
        <is>
          <t>PROD-106</t>
        </is>
      </c>
      <c r="E66" s="4" t="inlineStr">
        <is>
          <t>Silla Ergonómica Oficina</t>
        </is>
      </c>
      <c r="F66" s="2" t="inlineStr">
        <is>
          <t>Muebles</t>
        </is>
      </c>
      <c r="G66" s="10" t="n">
        <v>2</v>
      </c>
      <c r="H66" s="5" t="n">
        <v>185000</v>
      </c>
      <c r="I66" s="5" t="n">
        <v>115000</v>
      </c>
      <c r="J66" s="5" t="n">
        <v>0</v>
      </c>
      <c r="K66" s="5">
        <f>(G66*H66)-J66</f>
        <v/>
      </c>
      <c r="L66" s="5">
        <f>G66*I66</f>
        <v/>
      </c>
      <c r="M66" s="5">
        <f>K66-L66</f>
        <v/>
      </c>
    </row>
    <row r="67">
      <c r="A67" s="6" t="n">
        <v>66</v>
      </c>
      <c r="B67" s="6" t="inlineStr">
        <is>
          <t>TXN-20260801-027</t>
        </is>
      </c>
      <c r="C67" s="6" t="n">
        <v>1</v>
      </c>
      <c r="D67" s="6" t="inlineStr">
        <is>
          <t>PROD-106</t>
        </is>
      </c>
      <c r="E67" s="8" t="inlineStr">
        <is>
          <t>Silla Ergonómica Oficina</t>
        </is>
      </c>
      <c r="F67" s="6" t="inlineStr">
        <is>
          <t>Muebles</t>
        </is>
      </c>
      <c r="G67" s="11" t="n">
        <v>2</v>
      </c>
      <c r="H67" s="9" t="n">
        <v>185000</v>
      </c>
      <c r="I67" s="9" t="n">
        <v>115000</v>
      </c>
      <c r="J67" s="9" t="n">
        <v>37000</v>
      </c>
      <c r="K67" s="9">
        <f>(G67*H67)-J67</f>
        <v/>
      </c>
      <c r="L67" s="9">
        <f>G67*I67</f>
        <v/>
      </c>
      <c r="M67" s="9">
        <f>K67-L67</f>
        <v/>
      </c>
    </row>
    <row r="68">
      <c r="A68" s="2" t="n">
        <v>67</v>
      </c>
      <c r="B68" s="2" t="inlineStr">
        <is>
          <t>TXN-20260801-027</t>
        </is>
      </c>
      <c r="C68" s="2" t="n">
        <v>2</v>
      </c>
      <c r="D68" s="2" t="inlineStr">
        <is>
          <t>PROD-102</t>
        </is>
      </c>
      <c r="E68" s="4" t="inlineStr">
        <is>
          <t>Monitor 27 UHD</t>
        </is>
      </c>
      <c r="F68" s="2" t="inlineStr">
        <is>
          <t>Tecnología</t>
        </is>
      </c>
      <c r="G68" s="10" t="n">
        <v>2</v>
      </c>
      <c r="H68" s="5" t="n">
        <v>280000</v>
      </c>
      <c r="I68" s="5" t="n">
        <v>190000</v>
      </c>
      <c r="J68" s="5" t="n">
        <v>56000</v>
      </c>
      <c r="K68" s="5">
        <f>(G68*H68)-J68</f>
        <v/>
      </c>
      <c r="L68" s="5">
        <f>G68*I68</f>
        <v/>
      </c>
      <c r="M68" s="5">
        <f>K68-L68</f>
        <v/>
      </c>
    </row>
    <row r="69">
      <c r="A69" s="6" t="n">
        <v>68</v>
      </c>
      <c r="B69" s="6" t="inlineStr">
        <is>
          <t>TXN-20260801-028</t>
        </is>
      </c>
      <c r="C69" s="6" t="n">
        <v>1</v>
      </c>
      <c r="D69" s="6" t="inlineStr">
        <is>
          <t>PROD-108</t>
        </is>
      </c>
      <c r="E69" s="8" t="inlineStr">
        <is>
          <t>Webcam 4K Ultra</t>
        </is>
      </c>
      <c r="F69" s="6" t="inlineStr">
        <is>
          <t>Tecnología</t>
        </is>
      </c>
      <c r="G69" s="11" t="n">
        <v>2</v>
      </c>
      <c r="H69" s="9" t="n">
        <v>75000</v>
      </c>
      <c r="I69" s="9" t="n">
        <v>42000</v>
      </c>
      <c r="J69" s="9" t="n">
        <v>0</v>
      </c>
      <c r="K69" s="9">
        <f>(G69*H69)-J69</f>
        <v/>
      </c>
      <c r="L69" s="9">
        <f>G69*I69</f>
        <v/>
      </c>
      <c r="M69" s="9">
        <f>K69-L69</f>
        <v/>
      </c>
    </row>
    <row r="70">
      <c r="A70" s="2" t="n">
        <v>69</v>
      </c>
      <c r="B70" s="2" t="inlineStr">
        <is>
          <t>TXN-20260801-028</t>
        </is>
      </c>
      <c r="C70" s="2" t="n">
        <v>2</v>
      </c>
      <c r="D70" s="2" t="inlineStr">
        <is>
          <t>PROD-101</t>
        </is>
      </c>
      <c r="E70" s="4" t="inlineStr">
        <is>
          <t>Notebook Pro 15</t>
        </is>
      </c>
      <c r="F70" s="2" t="inlineStr">
        <is>
          <t>Tecnología</t>
        </is>
      </c>
      <c r="G70" s="10" t="n">
        <v>3</v>
      </c>
      <c r="H70" s="5" t="n">
        <v>850000</v>
      </c>
      <c r="I70" s="5" t="n">
        <v>620000</v>
      </c>
      <c r="J70" s="5" t="n">
        <v>127500</v>
      </c>
      <c r="K70" s="5">
        <f>(G70*H70)-J70</f>
        <v/>
      </c>
      <c r="L70" s="5">
        <f>G70*I70</f>
        <v/>
      </c>
      <c r="M70" s="5">
        <f>K70-L70</f>
        <v/>
      </c>
    </row>
    <row r="71">
      <c r="A71" s="6" t="n">
        <v>70</v>
      </c>
      <c r="B71" s="6" t="inlineStr">
        <is>
          <t>TXN-20260801-028</t>
        </is>
      </c>
      <c r="C71" s="6" t="n">
        <v>3</v>
      </c>
      <c r="D71" s="6" t="inlineStr">
        <is>
          <t>PROD-101</t>
        </is>
      </c>
      <c r="E71" s="8" t="inlineStr">
        <is>
          <t>Notebook Pro 15</t>
        </is>
      </c>
      <c r="F71" s="6" t="inlineStr">
        <is>
          <t>Tecnología</t>
        </is>
      </c>
      <c r="G71" s="11" t="n">
        <v>3</v>
      </c>
      <c r="H71" s="9" t="n">
        <v>850000</v>
      </c>
      <c r="I71" s="9" t="n">
        <v>620000</v>
      </c>
      <c r="J71" s="9" t="n">
        <v>0</v>
      </c>
      <c r="K71" s="9">
        <f>(G71*H71)-J71</f>
        <v/>
      </c>
      <c r="L71" s="9">
        <f>G71*I71</f>
        <v/>
      </c>
      <c r="M71" s="9">
        <f>K71-L71</f>
        <v/>
      </c>
    </row>
    <row r="72">
      <c r="A72" s="2" t="n">
        <v>71</v>
      </c>
      <c r="B72" s="2" t="inlineStr">
        <is>
          <t>TXN-20260801-028</t>
        </is>
      </c>
      <c r="C72" s="2" t="n">
        <v>4</v>
      </c>
      <c r="D72" s="2" t="inlineStr">
        <is>
          <t>PROD-102</t>
        </is>
      </c>
      <c r="E72" s="4" t="inlineStr">
        <is>
          <t>Monitor 27 UHD</t>
        </is>
      </c>
      <c r="F72" s="2" t="inlineStr">
        <is>
          <t>Tecnología</t>
        </is>
      </c>
      <c r="G72" s="10" t="n">
        <v>1</v>
      </c>
      <c r="H72" s="5" t="n">
        <v>280000</v>
      </c>
      <c r="I72" s="5" t="n">
        <v>190000</v>
      </c>
      <c r="J72" s="5" t="n">
        <v>0</v>
      </c>
      <c r="K72" s="5">
        <f>(G72*H72)-J72</f>
        <v/>
      </c>
      <c r="L72" s="5">
        <f>G72*I72</f>
        <v/>
      </c>
      <c r="M72" s="5">
        <f>K72-L72</f>
        <v/>
      </c>
    </row>
    <row r="73">
      <c r="A73" s="6" t="n">
        <v>72</v>
      </c>
      <c r="B73" s="6" t="inlineStr">
        <is>
          <t>TXN-20260801-029</t>
        </is>
      </c>
      <c r="C73" s="6" t="n">
        <v>1</v>
      </c>
      <c r="D73" s="6" t="inlineStr">
        <is>
          <t>PROD-105</t>
        </is>
      </c>
      <c r="E73" s="8" t="inlineStr">
        <is>
          <t>Auriculares Bluetooth</t>
        </is>
      </c>
      <c r="F73" s="6" t="inlineStr">
        <is>
          <t>Audio</t>
        </is>
      </c>
      <c r="G73" s="11" t="n">
        <v>2</v>
      </c>
      <c r="H73" s="9" t="n">
        <v>65000</v>
      </c>
      <c r="I73" s="9" t="n">
        <v>35000</v>
      </c>
      <c r="J73" s="9" t="n">
        <v>0</v>
      </c>
      <c r="K73" s="9">
        <f>(G73*H73)-J73</f>
        <v/>
      </c>
      <c r="L73" s="9">
        <f>G73*I73</f>
        <v/>
      </c>
      <c r="M73" s="9">
        <f>K73-L73</f>
        <v/>
      </c>
    </row>
    <row r="74">
      <c r="A74" s="2" t="n">
        <v>73</v>
      </c>
      <c r="B74" s="2" t="inlineStr">
        <is>
          <t>TXN-20260801-029</t>
        </is>
      </c>
      <c r="C74" s="2" t="n">
        <v>2</v>
      </c>
      <c r="D74" s="2" t="inlineStr">
        <is>
          <t>PROD-102</t>
        </is>
      </c>
      <c r="E74" s="4" t="inlineStr">
        <is>
          <t>Monitor 27 UHD</t>
        </is>
      </c>
      <c r="F74" s="2" t="inlineStr">
        <is>
          <t>Tecnología</t>
        </is>
      </c>
      <c r="G74" s="10" t="n">
        <v>1</v>
      </c>
      <c r="H74" s="5" t="n">
        <v>280000</v>
      </c>
      <c r="I74" s="5" t="n">
        <v>190000</v>
      </c>
      <c r="J74" s="5" t="n">
        <v>0</v>
      </c>
      <c r="K74" s="5">
        <f>(G74*H74)-J74</f>
        <v/>
      </c>
      <c r="L74" s="5">
        <f>G74*I74</f>
        <v/>
      </c>
      <c r="M74" s="5">
        <f>K74-L74</f>
        <v/>
      </c>
    </row>
    <row r="75">
      <c r="A75" s="6" t="n">
        <v>74</v>
      </c>
      <c r="B75" s="6" t="inlineStr">
        <is>
          <t>TXN-20260801-029</t>
        </is>
      </c>
      <c r="C75" s="6" t="n">
        <v>3</v>
      </c>
      <c r="D75" s="6" t="inlineStr">
        <is>
          <t>PROD-107</t>
        </is>
      </c>
      <c r="E75" s="8" t="inlineStr">
        <is>
          <t>Escritorio Ajustable</t>
        </is>
      </c>
      <c r="F75" s="6" t="inlineStr">
        <is>
          <t>Muebles</t>
        </is>
      </c>
      <c r="G75" s="11" t="n">
        <v>3</v>
      </c>
      <c r="H75" s="9" t="n">
        <v>240000</v>
      </c>
      <c r="I75" s="9" t="n">
        <v>150000</v>
      </c>
      <c r="J75" s="9" t="n">
        <v>0</v>
      </c>
      <c r="K75" s="9">
        <f>(G75*H75)-J75</f>
        <v/>
      </c>
      <c r="L75" s="9">
        <f>G75*I75</f>
        <v/>
      </c>
      <c r="M75" s="9">
        <f>K75-L75</f>
        <v/>
      </c>
    </row>
    <row r="76">
      <c r="A76" s="2" t="n">
        <v>75</v>
      </c>
      <c r="B76" s="2" t="inlineStr">
        <is>
          <t>TXN-20260801-030</t>
        </is>
      </c>
      <c r="C76" s="2" t="n">
        <v>1</v>
      </c>
      <c r="D76" s="2" t="inlineStr">
        <is>
          <t>PROD-102</t>
        </is>
      </c>
      <c r="E76" s="4" t="inlineStr">
        <is>
          <t>Monitor 27 UHD</t>
        </is>
      </c>
      <c r="F76" s="2" t="inlineStr">
        <is>
          <t>Tecnología</t>
        </is>
      </c>
      <c r="G76" s="10" t="n">
        <v>2</v>
      </c>
      <c r="H76" s="5" t="n">
        <v>280000</v>
      </c>
      <c r="I76" s="5" t="n">
        <v>190000</v>
      </c>
      <c r="J76" s="5" t="n">
        <v>28000</v>
      </c>
      <c r="K76" s="5">
        <f>(G76*H76)-J76</f>
        <v/>
      </c>
      <c r="L76" s="5">
        <f>G76*I76</f>
        <v/>
      </c>
      <c r="M76" s="5">
        <f>K76-L76</f>
        <v/>
      </c>
    </row>
    <row r="77">
      <c r="A77" s="6" t="n">
        <v>76</v>
      </c>
      <c r="B77" s="6" t="inlineStr">
        <is>
          <t>TXN-20260801-030</t>
        </is>
      </c>
      <c r="C77" s="6" t="n">
        <v>2</v>
      </c>
      <c r="D77" s="6" t="inlineStr">
        <is>
          <t>PROD-101</t>
        </is>
      </c>
      <c r="E77" s="8" t="inlineStr">
        <is>
          <t>Notebook Pro 15</t>
        </is>
      </c>
      <c r="F77" s="6" t="inlineStr">
        <is>
          <t>Tecnología</t>
        </is>
      </c>
      <c r="G77" s="11" t="n">
        <v>1</v>
      </c>
      <c r="H77" s="9" t="n">
        <v>850000</v>
      </c>
      <c r="I77" s="9" t="n">
        <v>620000</v>
      </c>
      <c r="J77" s="9" t="n">
        <v>0</v>
      </c>
      <c r="K77" s="9">
        <f>(G77*H77)-J77</f>
        <v/>
      </c>
      <c r="L77" s="9">
        <f>G77*I77</f>
        <v/>
      </c>
      <c r="M77" s="9">
        <f>K77-L77</f>
        <v/>
      </c>
    </row>
    <row r="78">
      <c r="A78" s="2" t="n">
        <v>77</v>
      </c>
      <c r="B78" s="2" t="inlineStr">
        <is>
          <t>TXN-20260801-030</t>
        </is>
      </c>
      <c r="C78" s="2" t="n">
        <v>3</v>
      </c>
      <c r="D78" s="2" t="inlineStr">
        <is>
          <t>PROD-104</t>
        </is>
      </c>
      <c r="E78" s="4" t="inlineStr">
        <is>
          <t>Mouse Inalámbrico</t>
        </is>
      </c>
      <c r="F78" s="2" t="inlineStr">
        <is>
          <t>Accesorios</t>
        </is>
      </c>
      <c r="G78" s="10" t="n">
        <v>3</v>
      </c>
      <c r="H78" s="5" t="n">
        <v>25000</v>
      </c>
      <c r="I78" s="5" t="n">
        <v>11000</v>
      </c>
      <c r="J78" s="5" t="n">
        <v>7500</v>
      </c>
      <c r="K78" s="5">
        <f>(G78*H78)-J78</f>
        <v/>
      </c>
      <c r="L78" s="5">
        <f>G78*I78</f>
        <v/>
      </c>
      <c r="M78" s="5">
        <f>K78-L78</f>
        <v/>
      </c>
    </row>
    <row r="79">
      <c r="A79" s="6" t="n">
        <v>78</v>
      </c>
      <c r="B79" s="6" t="inlineStr">
        <is>
          <t>TXN-20260801-031</t>
        </is>
      </c>
      <c r="C79" s="6" t="n">
        <v>1</v>
      </c>
      <c r="D79" s="6" t="inlineStr">
        <is>
          <t>PROD-102</t>
        </is>
      </c>
      <c r="E79" s="8" t="inlineStr">
        <is>
          <t>Monitor 27 UHD</t>
        </is>
      </c>
      <c r="F79" s="6" t="inlineStr">
        <is>
          <t>Tecnología</t>
        </is>
      </c>
      <c r="G79" s="11" t="n">
        <v>1</v>
      </c>
      <c r="H79" s="9" t="n">
        <v>280000</v>
      </c>
      <c r="I79" s="9" t="n">
        <v>190000</v>
      </c>
      <c r="J79" s="9" t="n">
        <v>0</v>
      </c>
      <c r="K79" s="9">
        <f>(G79*H79)-J79</f>
        <v/>
      </c>
      <c r="L79" s="9">
        <f>G79*I79</f>
        <v/>
      </c>
      <c r="M79" s="9">
        <f>K79-L79</f>
        <v/>
      </c>
    </row>
    <row r="80">
      <c r="A80" s="2" t="n">
        <v>79</v>
      </c>
      <c r="B80" s="2" t="inlineStr">
        <is>
          <t>TXN-20260801-031</t>
        </is>
      </c>
      <c r="C80" s="2" t="n">
        <v>2</v>
      </c>
      <c r="D80" s="2" t="inlineStr">
        <is>
          <t>PROD-101</t>
        </is>
      </c>
      <c r="E80" s="4" t="inlineStr">
        <is>
          <t>Notebook Pro 15</t>
        </is>
      </c>
      <c r="F80" s="2" t="inlineStr">
        <is>
          <t>Tecnología</t>
        </is>
      </c>
      <c r="G80" s="10" t="n">
        <v>2</v>
      </c>
      <c r="H80" s="5" t="n">
        <v>850000</v>
      </c>
      <c r="I80" s="5" t="n">
        <v>620000</v>
      </c>
      <c r="J80" s="5" t="n">
        <v>0</v>
      </c>
      <c r="K80" s="5">
        <f>(G80*H80)-J80</f>
        <v/>
      </c>
      <c r="L80" s="5">
        <f>G80*I80</f>
        <v/>
      </c>
      <c r="M80" s="5">
        <f>K80-L80</f>
        <v/>
      </c>
    </row>
    <row r="81">
      <c r="A81" s="6" t="n">
        <v>80</v>
      </c>
      <c r="B81" s="6" t="inlineStr">
        <is>
          <t>TXN-20260801-031</t>
        </is>
      </c>
      <c r="C81" s="6" t="n">
        <v>3</v>
      </c>
      <c r="D81" s="6" t="inlineStr">
        <is>
          <t>PROD-104</t>
        </is>
      </c>
      <c r="E81" s="8" t="inlineStr">
        <is>
          <t>Mouse Inalámbrico</t>
        </is>
      </c>
      <c r="F81" s="6" t="inlineStr">
        <is>
          <t>Accesorios</t>
        </is>
      </c>
      <c r="G81" s="11" t="n">
        <v>1</v>
      </c>
      <c r="H81" s="9" t="n">
        <v>25000</v>
      </c>
      <c r="I81" s="9" t="n">
        <v>11000</v>
      </c>
      <c r="J81" s="9" t="n">
        <v>1250</v>
      </c>
      <c r="K81" s="9">
        <f>(G81*H81)-J81</f>
        <v/>
      </c>
      <c r="L81" s="9">
        <f>G81*I81</f>
        <v/>
      </c>
      <c r="M81" s="9">
        <f>K81-L81</f>
        <v/>
      </c>
    </row>
    <row r="82">
      <c r="A82" s="2" t="n">
        <v>81</v>
      </c>
      <c r="B82" s="2" t="inlineStr">
        <is>
          <t>TXN-20260801-031</t>
        </is>
      </c>
      <c r="C82" s="2" t="n">
        <v>4</v>
      </c>
      <c r="D82" s="2" t="inlineStr">
        <is>
          <t>PROD-104</t>
        </is>
      </c>
      <c r="E82" s="4" t="inlineStr">
        <is>
          <t>Mouse Inalámbrico</t>
        </is>
      </c>
      <c r="F82" s="2" t="inlineStr">
        <is>
          <t>Accesorios</t>
        </is>
      </c>
      <c r="G82" s="10" t="n">
        <v>3</v>
      </c>
      <c r="H82" s="5" t="n">
        <v>25000</v>
      </c>
      <c r="I82" s="5" t="n">
        <v>11000</v>
      </c>
      <c r="J82" s="5" t="n">
        <v>3750</v>
      </c>
      <c r="K82" s="5">
        <f>(G82*H82)-J82</f>
        <v/>
      </c>
      <c r="L82" s="5">
        <f>G82*I82</f>
        <v/>
      </c>
      <c r="M82" s="5">
        <f>K82-L82</f>
        <v/>
      </c>
    </row>
    <row r="83">
      <c r="A83" s="6" t="n">
        <v>82</v>
      </c>
      <c r="B83" s="6" t="inlineStr">
        <is>
          <t>TXN-20260801-032</t>
        </is>
      </c>
      <c r="C83" s="6" t="n">
        <v>1</v>
      </c>
      <c r="D83" s="6" t="inlineStr">
        <is>
          <t>PROD-108</t>
        </is>
      </c>
      <c r="E83" s="8" t="inlineStr">
        <is>
          <t>Webcam 4K Ultra</t>
        </is>
      </c>
      <c r="F83" s="6" t="inlineStr">
        <is>
          <t>Tecnología</t>
        </is>
      </c>
      <c r="G83" s="11" t="n">
        <v>3</v>
      </c>
      <c r="H83" s="9" t="n">
        <v>75000</v>
      </c>
      <c r="I83" s="9" t="n">
        <v>42000</v>
      </c>
      <c r="J83" s="9" t="n">
        <v>0</v>
      </c>
      <c r="K83" s="9">
        <f>(G83*H83)-J83</f>
        <v/>
      </c>
      <c r="L83" s="9">
        <f>G83*I83</f>
        <v/>
      </c>
      <c r="M83" s="9">
        <f>K83-L83</f>
        <v/>
      </c>
    </row>
    <row r="84">
      <c r="A84" s="2" t="n">
        <v>83</v>
      </c>
      <c r="B84" s="2" t="inlineStr">
        <is>
          <t>TXN-20260801-032</t>
        </is>
      </c>
      <c r="C84" s="2" t="n">
        <v>2</v>
      </c>
      <c r="D84" s="2" t="inlineStr">
        <is>
          <t>PROD-105</t>
        </is>
      </c>
      <c r="E84" s="4" t="inlineStr">
        <is>
          <t>Auriculares Bluetooth</t>
        </is>
      </c>
      <c r="F84" s="2" t="inlineStr">
        <is>
          <t>Audio</t>
        </is>
      </c>
      <c r="G84" s="10" t="n">
        <v>1</v>
      </c>
      <c r="H84" s="5" t="n">
        <v>65000</v>
      </c>
      <c r="I84" s="5" t="n">
        <v>35000</v>
      </c>
      <c r="J84" s="5" t="n">
        <v>0</v>
      </c>
      <c r="K84" s="5">
        <f>(G84*H84)-J84</f>
        <v/>
      </c>
      <c r="L84" s="5">
        <f>G84*I84</f>
        <v/>
      </c>
      <c r="M84" s="5">
        <f>K84-L84</f>
        <v/>
      </c>
    </row>
    <row r="85">
      <c r="A85" s="6" t="n">
        <v>84</v>
      </c>
      <c r="B85" s="6" t="inlineStr">
        <is>
          <t>TXN-20260801-032</t>
        </is>
      </c>
      <c r="C85" s="6" t="n">
        <v>3</v>
      </c>
      <c r="D85" s="6" t="inlineStr">
        <is>
          <t>PROD-104</t>
        </is>
      </c>
      <c r="E85" s="8" t="inlineStr">
        <is>
          <t>Mouse Inalámbrico</t>
        </is>
      </c>
      <c r="F85" s="6" t="inlineStr">
        <is>
          <t>Accesorios</t>
        </is>
      </c>
      <c r="G85" s="11" t="n">
        <v>1</v>
      </c>
      <c r="H85" s="9" t="n">
        <v>25000</v>
      </c>
      <c r="I85" s="9" t="n">
        <v>11000</v>
      </c>
      <c r="J85" s="9" t="n">
        <v>0</v>
      </c>
      <c r="K85" s="9">
        <f>(G85*H85)-J85</f>
        <v/>
      </c>
      <c r="L85" s="9">
        <f>G85*I85</f>
        <v/>
      </c>
      <c r="M85" s="9">
        <f>K85-L85</f>
        <v/>
      </c>
    </row>
    <row r="86">
      <c r="A86" s="2" t="n">
        <v>85</v>
      </c>
      <c r="B86" s="2" t="inlineStr">
        <is>
          <t>TXN-20260801-032</t>
        </is>
      </c>
      <c r="C86" s="2" t="n">
        <v>4</v>
      </c>
      <c r="D86" s="2" t="inlineStr">
        <is>
          <t>PROD-104</t>
        </is>
      </c>
      <c r="E86" s="4" t="inlineStr">
        <is>
          <t>Mouse Inalámbrico</t>
        </is>
      </c>
      <c r="F86" s="2" t="inlineStr">
        <is>
          <t>Accesorios</t>
        </is>
      </c>
      <c r="G86" s="10" t="n">
        <v>2</v>
      </c>
      <c r="H86" s="5" t="n">
        <v>25000</v>
      </c>
      <c r="I86" s="5" t="n">
        <v>11000</v>
      </c>
      <c r="J86" s="5" t="n">
        <v>0</v>
      </c>
      <c r="K86" s="5">
        <f>(G86*H86)-J86</f>
        <v/>
      </c>
      <c r="L86" s="5">
        <f>G86*I86</f>
        <v/>
      </c>
      <c r="M86" s="5">
        <f>K86-L86</f>
        <v/>
      </c>
    </row>
    <row r="87">
      <c r="A87" s="6" t="n">
        <v>86</v>
      </c>
      <c r="B87" s="6" t="inlineStr">
        <is>
          <t>TXN-20260801-033</t>
        </is>
      </c>
      <c r="C87" s="6" t="n">
        <v>1</v>
      </c>
      <c r="D87" s="6" t="inlineStr">
        <is>
          <t>PROD-102</t>
        </is>
      </c>
      <c r="E87" s="8" t="inlineStr">
        <is>
          <t>Monitor 27 UHD</t>
        </is>
      </c>
      <c r="F87" s="6" t="inlineStr">
        <is>
          <t>Tecnología</t>
        </is>
      </c>
      <c r="G87" s="11" t="n">
        <v>1</v>
      </c>
      <c r="H87" s="9" t="n">
        <v>280000</v>
      </c>
      <c r="I87" s="9" t="n">
        <v>190000</v>
      </c>
      <c r="J87" s="9" t="n">
        <v>28000</v>
      </c>
      <c r="K87" s="9">
        <f>(G87*H87)-J87</f>
        <v/>
      </c>
      <c r="L87" s="9">
        <f>G87*I87</f>
        <v/>
      </c>
      <c r="M87" s="9">
        <f>K87-L87</f>
        <v/>
      </c>
    </row>
    <row r="88">
      <c r="A88" s="2" t="n">
        <v>87</v>
      </c>
      <c r="B88" s="2" t="inlineStr">
        <is>
          <t>TXN-20260801-034</t>
        </is>
      </c>
      <c r="C88" s="2" t="n">
        <v>1</v>
      </c>
      <c r="D88" s="2" t="inlineStr">
        <is>
          <t>PROD-108</t>
        </is>
      </c>
      <c r="E88" s="4" t="inlineStr">
        <is>
          <t>Webcam 4K Ultra</t>
        </is>
      </c>
      <c r="F88" s="2" t="inlineStr">
        <is>
          <t>Tecnología</t>
        </is>
      </c>
      <c r="G88" s="10" t="n">
        <v>1</v>
      </c>
      <c r="H88" s="5" t="n">
        <v>75000</v>
      </c>
      <c r="I88" s="5" t="n">
        <v>42000</v>
      </c>
      <c r="J88" s="5" t="n">
        <v>0</v>
      </c>
      <c r="K88" s="5">
        <f>(G88*H88)-J88</f>
        <v/>
      </c>
      <c r="L88" s="5">
        <f>G88*I88</f>
        <v/>
      </c>
      <c r="M88" s="5">
        <f>K88-L88</f>
        <v/>
      </c>
    </row>
    <row r="89">
      <c r="A89" s="6" t="n">
        <v>88</v>
      </c>
      <c r="B89" s="6" t="inlineStr">
        <is>
          <t>TXN-20260801-035</t>
        </is>
      </c>
      <c r="C89" s="6" t="n">
        <v>1</v>
      </c>
      <c r="D89" s="6" t="inlineStr">
        <is>
          <t>PROD-103</t>
        </is>
      </c>
      <c r="E89" s="8" t="inlineStr">
        <is>
          <t>Teclado Mecánico RGB</t>
        </is>
      </c>
      <c r="F89" s="6" t="inlineStr">
        <is>
          <t>Accesorios</t>
        </is>
      </c>
      <c r="G89" s="11" t="n">
        <v>3</v>
      </c>
      <c r="H89" s="9" t="n">
        <v>45000</v>
      </c>
      <c r="I89" s="9" t="n">
        <v>22000</v>
      </c>
      <c r="J89" s="9" t="n">
        <v>0</v>
      </c>
      <c r="K89" s="9">
        <f>(G89*H89)-J89</f>
        <v/>
      </c>
      <c r="L89" s="9">
        <f>G89*I89</f>
        <v/>
      </c>
      <c r="M89" s="9">
        <f>K89-L89</f>
        <v/>
      </c>
    </row>
    <row r="90">
      <c r="A90" s="2" t="n">
        <v>89</v>
      </c>
      <c r="B90" s="2" t="inlineStr">
        <is>
          <t>TXN-20260801-035</t>
        </is>
      </c>
      <c r="C90" s="2" t="n">
        <v>2</v>
      </c>
      <c r="D90" s="2" t="inlineStr">
        <is>
          <t>PROD-104</t>
        </is>
      </c>
      <c r="E90" s="4" t="inlineStr">
        <is>
          <t>Mouse Inalámbrico</t>
        </is>
      </c>
      <c r="F90" s="2" t="inlineStr">
        <is>
          <t>Accesorios</t>
        </is>
      </c>
      <c r="G90" s="10" t="n">
        <v>2</v>
      </c>
      <c r="H90" s="5" t="n">
        <v>25000</v>
      </c>
      <c r="I90" s="5" t="n">
        <v>11000</v>
      </c>
      <c r="J90" s="5" t="n">
        <v>0</v>
      </c>
      <c r="K90" s="5">
        <f>(G90*H90)-J90</f>
        <v/>
      </c>
      <c r="L90" s="5">
        <f>G90*I90</f>
        <v/>
      </c>
      <c r="M90" s="5">
        <f>K90-L90</f>
        <v/>
      </c>
    </row>
    <row r="91">
      <c r="A91" s="6" t="n">
        <v>90</v>
      </c>
      <c r="B91" s="6" t="inlineStr">
        <is>
          <t>TXN-20260801-036</t>
        </is>
      </c>
      <c r="C91" s="6" t="n">
        <v>1</v>
      </c>
      <c r="D91" s="6" t="inlineStr">
        <is>
          <t>PROD-104</t>
        </is>
      </c>
      <c r="E91" s="8" t="inlineStr">
        <is>
          <t>Mouse Inalámbrico</t>
        </is>
      </c>
      <c r="F91" s="6" t="inlineStr">
        <is>
          <t>Accesorios</t>
        </is>
      </c>
      <c r="G91" s="11" t="n">
        <v>2</v>
      </c>
      <c r="H91" s="9" t="n">
        <v>25000</v>
      </c>
      <c r="I91" s="9" t="n">
        <v>11000</v>
      </c>
      <c r="J91" s="9" t="n">
        <v>5000</v>
      </c>
      <c r="K91" s="9">
        <f>(G91*H91)-J91</f>
        <v/>
      </c>
      <c r="L91" s="9">
        <f>G91*I91</f>
        <v/>
      </c>
      <c r="M91" s="9">
        <f>K91-L91</f>
        <v/>
      </c>
    </row>
    <row r="92">
      <c r="A92" s="2" t="n">
        <v>91</v>
      </c>
      <c r="B92" s="2" t="inlineStr">
        <is>
          <t>TXN-20260801-036</t>
        </is>
      </c>
      <c r="C92" s="2" t="n">
        <v>2</v>
      </c>
      <c r="D92" s="2" t="inlineStr">
        <is>
          <t>PROD-102</t>
        </is>
      </c>
      <c r="E92" s="4" t="inlineStr">
        <is>
          <t>Monitor 27 UHD</t>
        </is>
      </c>
      <c r="F92" s="2" t="inlineStr">
        <is>
          <t>Tecnología</t>
        </is>
      </c>
      <c r="G92" s="10" t="n">
        <v>3</v>
      </c>
      <c r="H92" s="5" t="n">
        <v>280000</v>
      </c>
      <c r="I92" s="5" t="n">
        <v>190000</v>
      </c>
      <c r="J92" s="5" t="n">
        <v>84000</v>
      </c>
      <c r="K92" s="5">
        <f>(G92*H92)-J92</f>
        <v/>
      </c>
      <c r="L92" s="5">
        <f>G92*I92</f>
        <v/>
      </c>
      <c r="M92" s="5">
        <f>K92-L92</f>
        <v/>
      </c>
    </row>
    <row r="93">
      <c r="A93" s="6" t="n">
        <v>92</v>
      </c>
      <c r="B93" s="6" t="inlineStr">
        <is>
          <t>TXN-20260801-037</t>
        </is>
      </c>
      <c r="C93" s="6" t="n">
        <v>1</v>
      </c>
      <c r="D93" s="6" t="inlineStr">
        <is>
          <t>PROD-104</t>
        </is>
      </c>
      <c r="E93" s="8" t="inlineStr">
        <is>
          <t>Mouse Inalámbrico</t>
        </is>
      </c>
      <c r="F93" s="6" t="inlineStr">
        <is>
          <t>Accesorios</t>
        </is>
      </c>
      <c r="G93" s="11" t="n">
        <v>3</v>
      </c>
      <c r="H93" s="9" t="n">
        <v>25000</v>
      </c>
      <c r="I93" s="9" t="n">
        <v>11000</v>
      </c>
      <c r="J93" s="9" t="n">
        <v>0</v>
      </c>
      <c r="K93" s="9">
        <f>(G93*H93)-J93</f>
        <v/>
      </c>
      <c r="L93" s="9">
        <f>G93*I93</f>
        <v/>
      </c>
      <c r="M93" s="9">
        <f>K93-L93</f>
        <v/>
      </c>
    </row>
    <row r="94">
      <c r="A94" s="2" t="n">
        <v>93</v>
      </c>
      <c r="B94" s="2" t="inlineStr">
        <is>
          <t>TXN-20260801-037</t>
        </is>
      </c>
      <c r="C94" s="2" t="n">
        <v>2</v>
      </c>
      <c r="D94" s="2" t="inlineStr">
        <is>
          <t>PROD-101</t>
        </is>
      </c>
      <c r="E94" s="4" t="inlineStr">
        <is>
          <t>Notebook Pro 15</t>
        </is>
      </c>
      <c r="F94" s="2" t="inlineStr">
        <is>
          <t>Tecnología</t>
        </is>
      </c>
      <c r="G94" s="10" t="n">
        <v>1</v>
      </c>
      <c r="H94" s="5" t="n">
        <v>850000</v>
      </c>
      <c r="I94" s="5" t="n">
        <v>620000</v>
      </c>
      <c r="J94" s="5" t="n">
        <v>0</v>
      </c>
      <c r="K94" s="5">
        <f>(G94*H94)-J94</f>
        <v/>
      </c>
      <c r="L94" s="5">
        <f>G94*I94</f>
        <v/>
      </c>
      <c r="M94" s="5">
        <f>K94-L94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2026-08-07T19:40:03Z</dcterms:created>
  <dcterms:modified xmlns:dcterms="http://purl.org/dc/terms/" xmlns:xsi="http://www.w3.org/2001/XMLSchema-instance" xsi:type="dcterms:W3CDTF">2026-08-07T19:40:04Z</dcterms:modified>
</cp:coreProperties>
</file>