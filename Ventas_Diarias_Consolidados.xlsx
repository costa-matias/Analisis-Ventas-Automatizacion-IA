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yecto automatizacion\"/>
    </mc:Choice>
  </mc:AlternateContent>
  <xr:revisionPtr revIDLastSave="0" documentId="13_ncr:1_{8B9B21DC-2634-4497-BE19-7B659359F75B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Fact_Ventas_Detalle" sheetId="2" r:id="rId1"/>
    <sheet name="Fact_Ventas_Cabecera" sheetId="3" r:id="rId2"/>
    <sheet name="Analisis" sheetId="4" r:id="rId3"/>
  </sheets>
  <definedNames>
    <definedName name="DatosExternos_1" localSheetId="0" hidden="1">Fact_Ventas_Detalle!$A$1:$J$965</definedName>
    <definedName name="DatosExternos_2" localSheetId="1" hidden="1">Fact_Ventas_Cabecera!$A$1:$G$398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_Ventas_Detalle_c9a9c1b1-09b1-49cc-b7cb-8300b6c60038" name="Fact_Ventas_Detalle" connection="Consulta - Fact_Ventas_Detalle"/>
          <x15:modelTable id="Fact_Ventas_Cabecera_a59ffc1d-662c-4f42-bcb2-372781425e2b" name="Fact_Ventas_Cabecera" connection="Consulta - Fact_Ventas_Cabecera"/>
          <x15:modelTable id="Calendar" name="Calendar" connection="Conexión"/>
        </x15:modelTables>
        <x15:modelRelationships>
          <x15:modelRelationship fromTable="Fact_Ventas_Detalle" fromColumn="ID Transaccion" toTable="Fact_Ventas_Cabecera" toColumn="ID Transaccion"/>
          <x15:modelRelationship fromTable="Fact_Ventas_Cabecera" fromColumn="Fecha Hora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0" i="2" l="1"/>
  <c r="K254" i="2"/>
  <c r="K410" i="2"/>
  <c r="K482" i="2"/>
  <c r="K530" i="2"/>
  <c r="K614" i="2"/>
  <c r="K661" i="2"/>
  <c r="K182" i="2"/>
  <c r="K326" i="2"/>
  <c r="K727" i="2"/>
  <c r="K302" i="2"/>
  <c r="K422" i="2"/>
  <c r="K434" i="2"/>
  <c r="K470" i="2"/>
  <c r="K554" i="2"/>
  <c r="K602" i="2"/>
  <c r="K683" i="2"/>
  <c r="K694" i="2"/>
  <c r="K892" i="2"/>
  <c r="K937" i="2"/>
  <c r="K158" i="2"/>
  <c r="K471" i="2"/>
  <c r="K555" i="2"/>
  <c r="K826" i="2"/>
  <c r="K2" i="2"/>
  <c r="K231" i="2"/>
  <c r="K411" i="2"/>
  <c r="K494" i="2"/>
  <c r="K705" i="2"/>
  <c r="K3" i="2"/>
  <c r="K638" i="2"/>
  <c r="K728" i="2"/>
  <c r="K897" i="2"/>
  <c r="K927" i="2"/>
  <c r="K945" i="2"/>
  <c r="K4" i="2"/>
  <c r="K350" i="2"/>
  <c r="K446" i="2"/>
  <c r="K639" i="2"/>
  <c r="K50" i="2"/>
  <c r="K242" i="2"/>
  <c r="K266" i="2"/>
  <c r="K314" i="2"/>
  <c r="K423" i="2"/>
  <c r="K566" i="2"/>
  <c r="K706" i="2"/>
  <c r="K5" i="2"/>
  <c r="K218" i="2"/>
  <c r="K483" i="2"/>
  <c r="K110" i="2"/>
  <c r="K267" i="2"/>
  <c r="K518" i="2"/>
  <c r="K615" i="2"/>
  <c r="K898" i="2"/>
  <c r="K6" i="2"/>
  <c r="K86" i="2"/>
  <c r="K315" i="2"/>
  <c r="K506" i="2"/>
  <c r="K695" i="2"/>
  <c r="K787" i="2"/>
  <c r="K807" i="2"/>
  <c r="K835" i="2"/>
  <c r="K134" i="2"/>
  <c r="K542" i="2"/>
  <c r="K603" i="2"/>
  <c r="K26" i="2"/>
  <c r="K74" i="2"/>
  <c r="K135" i="2"/>
  <c r="K243" i="2"/>
  <c r="K327" i="2"/>
  <c r="K424" i="2"/>
  <c r="K255" i="2"/>
  <c r="K447" i="2"/>
  <c r="K672" i="2"/>
  <c r="K737" i="2"/>
  <c r="K757" i="2"/>
  <c r="K777" i="2"/>
  <c r="K907" i="2"/>
  <c r="K244" i="2"/>
  <c r="K338" i="2"/>
  <c r="K374" i="2"/>
  <c r="K458" i="2"/>
  <c r="K495" i="2"/>
  <c r="K507" i="2"/>
  <c r="K729" i="2"/>
  <c r="K767" i="2"/>
  <c r="K797" i="2"/>
  <c r="K908" i="2"/>
  <c r="K928" i="2"/>
  <c r="K949" i="2"/>
  <c r="K965" i="2"/>
  <c r="K122" i="2"/>
  <c r="K206" i="2"/>
  <c r="K303" i="2"/>
  <c r="K351" i="2"/>
  <c r="K448" i="2"/>
  <c r="K604" i="2"/>
  <c r="K650" i="2"/>
  <c r="K768" i="2"/>
  <c r="K75" i="2"/>
  <c r="K183" i="2"/>
  <c r="K219" i="2"/>
  <c r="K256" i="2"/>
  <c r="K278" i="2"/>
  <c r="K290" i="2"/>
  <c r="K328" i="2"/>
  <c r="K362" i="2"/>
  <c r="K459" i="2"/>
  <c r="K567" i="2"/>
  <c r="K590" i="2"/>
  <c r="K640" i="2"/>
  <c r="K684" i="2"/>
  <c r="K778" i="2"/>
  <c r="K87" i="2"/>
  <c r="K98" i="2"/>
  <c r="K136" i="2"/>
  <c r="K232" i="2"/>
  <c r="K398" i="2"/>
  <c r="K472" i="2"/>
  <c r="K508" i="2"/>
  <c r="K707" i="2"/>
  <c r="K788" i="2"/>
  <c r="K827" i="2"/>
  <c r="K875" i="2"/>
  <c r="K922" i="2"/>
  <c r="K38" i="2"/>
  <c r="K184" i="2"/>
  <c r="K220" i="2"/>
  <c r="K412" i="2"/>
  <c r="K435" i="2"/>
  <c r="K605" i="2"/>
  <c r="K651" i="2"/>
  <c r="K696" i="2"/>
  <c r="K708" i="2"/>
  <c r="K798" i="2"/>
  <c r="K7" i="2"/>
  <c r="K146" i="2"/>
  <c r="K194" i="2"/>
  <c r="K279" i="2"/>
  <c r="K436" i="2"/>
  <c r="K473" i="2"/>
  <c r="K543" i="2"/>
  <c r="K673" i="2"/>
  <c r="K769" i="2"/>
  <c r="K861" i="2"/>
  <c r="K14" i="2"/>
  <c r="K233" i="2"/>
  <c r="K268" i="2"/>
  <c r="K339" i="2"/>
  <c r="K474" i="2"/>
  <c r="K578" i="2"/>
  <c r="K626" i="2"/>
  <c r="K123" i="2"/>
  <c r="K280" i="2"/>
  <c r="K363" i="2"/>
  <c r="K449" i="2"/>
  <c r="K496" i="2"/>
  <c r="K544" i="2"/>
  <c r="K652" i="2"/>
  <c r="K697" i="2"/>
  <c r="K853" i="2"/>
  <c r="K881" i="2"/>
  <c r="K887" i="2"/>
  <c r="K912" i="2"/>
  <c r="K917" i="2"/>
  <c r="K950" i="2"/>
  <c r="K185" i="2"/>
  <c r="K245" i="2"/>
  <c r="K304" i="2"/>
  <c r="K556" i="2"/>
  <c r="K616" i="2"/>
  <c r="K653" i="2"/>
  <c r="K662" i="2"/>
  <c r="K709" i="2"/>
  <c r="K779" i="2"/>
  <c r="K868" i="2"/>
  <c r="K893" i="2"/>
  <c r="K909" i="2"/>
  <c r="K8" i="2"/>
  <c r="K39" i="2"/>
  <c r="K51" i="2"/>
  <c r="K88" i="2"/>
  <c r="K281" i="2"/>
  <c r="K617" i="2"/>
  <c r="K663" i="2"/>
  <c r="K828" i="2"/>
  <c r="K836" i="2"/>
  <c r="K40" i="2"/>
  <c r="K111" i="2"/>
  <c r="K316" i="2"/>
  <c r="K352" i="2"/>
  <c r="K450" i="2"/>
  <c r="K591" i="2"/>
  <c r="K627" i="2"/>
  <c r="K674" i="2"/>
  <c r="K27" i="2"/>
  <c r="K137" i="2"/>
  <c r="K170" i="2"/>
  <c r="K195" i="2"/>
  <c r="K340" i="2"/>
  <c r="K386" i="2"/>
  <c r="K437" i="2"/>
  <c r="K519" i="2"/>
  <c r="K606" i="2"/>
  <c r="K685" i="2"/>
  <c r="K710" i="2"/>
  <c r="K15" i="2"/>
  <c r="K124" i="2"/>
  <c r="K353" i="2"/>
  <c r="K618" i="2"/>
  <c r="K711" i="2"/>
  <c r="K899" i="2"/>
  <c r="K959" i="2"/>
  <c r="K28" i="2"/>
  <c r="K62" i="2"/>
  <c r="K89" i="2"/>
  <c r="K221" i="2"/>
  <c r="K413" i="2"/>
  <c r="K460" i="2"/>
  <c r="K619" i="2"/>
  <c r="K716" i="2"/>
  <c r="K837" i="2"/>
  <c r="K63" i="2"/>
  <c r="K196" i="2"/>
  <c r="K246" i="2"/>
  <c r="K269" i="2"/>
  <c r="K375" i="2"/>
  <c r="K425" i="2"/>
  <c r="K475" i="2"/>
  <c r="K509" i="2"/>
  <c r="K545" i="2"/>
  <c r="K579" i="2"/>
  <c r="K717" i="2"/>
  <c r="K789" i="2"/>
  <c r="K829" i="2"/>
  <c r="K16" i="2"/>
  <c r="K197" i="2"/>
  <c r="K257" i="2"/>
  <c r="K305" i="2"/>
  <c r="K364" i="2"/>
  <c r="K484" i="2"/>
  <c r="K520" i="2"/>
  <c r="K664" i="2"/>
  <c r="K686" i="2"/>
  <c r="K838" i="2"/>
  <c r="K862" i="2"/>
  <c r="K882" i="2"/>
  <c r="K902" i="2"/>
  <c r="K932" i="2"/>
  <c r="K951" i="2"/>
  <c r="K17" i="2"/>
  <c r="K159" i="2"/>
  <c r="K329" i="2"/>
  <c r="K365" i="2"/>
  <c r="K426" i="2"/>
  <c r="K510" i="2"/>
  <c r="K620" i="2"/>
  <c r="K675" i="2"/>
  <c r="K18" i="2"/>
  <c r="K64" i="2"/>
  <c r="K234" i="2"/>
  <c r="K258" i="2"/>
  <c r="K330" i="2"/>
  <c r="K485" i="2"/>
  <c r="K557" i="2"/>
  <c r="K687" i="2"/>
  <c r="K830" i="2"/>
  <c r="K869" i="2"/>
  <c r="K29" i="2"/>
  <c r="K90" i="2"/>
  <c r="K138" i="2"/>
  <c r="K247" i="2"/>
  <c r="K376" i="2"/>
  <c r="K399" i="2"/>
  <c r="K427" i="2"/>
  <c r="K461" i="2"/>
  <c r="K497" i="2"/>
  <c r="K568" i="2"/>
  <c r="K592" i="2"/>
  <c r="K641" i="2"/>
  <c r="K19" i="2"/>
  <c r="K377" i="2"/>
  <c r="K400" i="2"/>
  <c r="K428" i="2"/>
  <c r="K531" i="2"/>
  <c r="K718" i="2"/>
  <c r="K799" i="2"/>
  <c r="K870" i="2"/>
  <c r="K938" i="2"/>
  <c r="K52" i="2"/>
  <c r="K198" i="2"/>
  <c r="K414" i="2"/>
  <c r="K486" i="2"/>
  <c r="K628" i="2"/>
  <c r="K719" i="2"/>
  <c r="K800" i="2"/>
  <c r="K817" i="2"/>
  <c r="K876" i="2"/>
  <c r="K900" i="2"/>
  <c r="K913" i="2"/>
  <c r="K929" i="2"/>
  <c r="K99" i="2"/>
  <c r="K125" i="2"/>
  <c r="K171" i="2"/>
  <c r="K199" i="2"/>
  <c r="K331" i="2"/>
  <c r="K387" i="2"/>
  <c r="K487" i="2"/>
  <c r="K558" i="2"/>
  <c r="K593" i="2"/>
  <c r="K747" i="2"/>
  <c r="K780" i="2"/>
  <c r="K808" i="2"/>
  <c r="K844" i="2"/>
  <c r="K207" i="2"/>
  <c r="K462" i="2"/>
  <c r="K642" i="2"/>
  <c r="K688" i="2"/>
  <c r="K41" i="2"/>
  <c r="K147" i="2"/>
  <c r="K401" i="2"/>
  <c r="K720" i="2"/>
  <c r="K801" i="2"/>
  <c r="K894" i="2"/>
  <c r="K930" i="2"/>
  <c r="K30" i="2"/>
  <c r="K76" i="2"/>
  <c r="K222" i="2"/>
  <c r="K332" i="2"/>
  <c r="K546" i="2"/>
  <c r="K580" i="2"/>
  <c r="K665" i="2"/>
  <c r="K721" i="2"/>
  <c r="K845" i="2"/>
  <c r="K888" i="2"/>
  <c r="K903" i="2"/>
  <c r="K923" i="2"/>
  <c r="K963" i="2"/>
  <c r="K42" i="2"/>
  <c r="K186" i="2"/>
  <c r="K235" i="2"/>
  <c r="K282" i="2"/>
  <c r="K333" i="2"/>
  <c r="K378" i="2"/>
  <c r="K547" i="2"/>
  <c r="K594" i="2"/>
  <c r="K698" i="2"/>
  <c r="K730" i="2"/>
  <c r="K758" i="2"/>
  <c r="K818" i="2"/>
  <c r="K31" i="2"/>
  <c r="K208" i="2"/>
  <c r="K438" i="2"/>
  <c r="K521" i="2"/>
  <c r="K559" i="2"/>
  <c r="K676" i="2"/>
  <c r="K731" i="2"/>
  <c r="K759" i="2"/>
  <c r="K802" i="2"/>
  <c r="K209" i="2"/>
  <c r="K317" i="2"/>
  <c r="K379" i="2"/>
  <c r="K451" i="2"/>
  <c r="K498" i="2"/>
  <c r="K560" i="2"/>
  <c r="K621" i="2"/>
  <c r="K748" i="2"/>
  <c r="K809" i="2"/>
  <c r="K846" i="2"/>
  <c r="K910" i="2"/>
  <c r="K126" i="2"/>
  <c r="K172" i="2"/>
  <c r="K248" i="2"/>
  <c r="K402" i="2"/>
  <c r="K488" i="2"/>
  <c r="K689" i="2"/>
  <c r="K770" i="2"/>
  <c r="K306" i="2"/>
  <c r="K341" i="2"/>
  <c r="K380" i="2"/>
  <c r="K654" i="2"/>
  <c r="K43" i="2"/>
  <c r="K100" i="2"/>
  <c r="K511" i="2"/>
  <c r="K607" i="2"/>
  <c r="K77" i="2"/>
  <c r="K148" i="2"/>
  <c r="K307" i="2"/>
  <c r="K476" i="2"/>
  <c r="K569" i="2"/>
  <c r="K643" i="2"/>
  <c r="K877" i="2"/>
  <c r="K911" i="2"/>
  <c r="K139" i="2"/>
  <c r="K342" i="2"/>
  <c r="K388" i="2"/>
  <c r="K499" i="2"/>
  <c r="K532" i="2"/>
  <c r="K690" i="2"/>
  <c r="K732" i="2"/>
  <c r="K831" i="2"/>
  <c r="K854" i="2"/>
  <c r="K933" i="2"/>
  <c r="K78" i="2"/>
  <c r="K210" i="2"/>
  <c r="K259" i="2"/>
  <c r="K500" i="2"/>
  <c r="K570" i="2"/>
  <c r="K733" i="2"/>
  <c r="K855" i="2"/>
  <c r="K878" i="2"/>
  <c r="K173" i="2"/>
  <c r="K291" i="2"/>
  <c r="K381" i="2"/>
  <c r="K477" i="2"/>
  <c r="K655" i="2"/>
  <c r="K318" i="2"/>
  <c r="K366" i="2"/>
  <c r="K415" i="2"/>
  <c r="K581" i="2"/>
  <c r="K810" i="2"/>
  <c r="K847" i="2"/>
  <c r="K879" i="2"/>
  <c r="K901" i="2"/>
  <c r="K44" i="2"/>
  <c r="K149" i="2"/>
  <c r="K236" i="2"/>
  <c r="K595" i="2"/>
  <c r="K677" i="2"/>
  <c r="K760" i="2"/>
  <c r="K964" i="2"/>
  <c r="K200" i="2"/>
  <c r="K292" i="2"/>
  <c r="K644" i="2"/>
  <c r="K856" i="2"/>
  <c r="K174" i="2"/>
  <c r="K771" i="2"/>
  <c r="K811" i="2"/>
  <c r="K45" i="2"/>
  <c r="K389" i="2"/>
  <c r="K571" i="2"/>
  <c r="K629" i="2"/>
  <c r="K761" i="2"/>
  <c r="K819" i="2"/>
  <c r="K914" i="2"/>
  <c r="K260" i="2"/>
  <c r="K582" i="2"/>
  <c r="K738" i="2"/>
  <c r="K622" i="2"/>
  <c r="K666" i="2"/>
  <c r="K848" i="2"/>
  <c r="K160" i="2"/>
  <c r="K211" i="2"/>
  <c r="K201" i="2"/>
  <c r="K489" i="2"/>
  <c r="K583" i="2"/>
  <c r="K762" i="2"/>
  <c r="K946" i="2"/>
  <c r="K79" i="2"/>
  <c r="K150" i="2"/>
  <c r="K439" i="2"/>
  <c r="K548" i="2"/>
  <c r="K863" i="2"/>
  <c r="K939" i="2"/>
  <c r="K270" i="2"/>
  <c r="K354" i="2"/>
  <c r="K416" i="2"/>
  <c r="K463" i="2"/>
  <c r="K223" i="2"/>
  <c r="K224" i="2"/>
  <c r="K934" i="2"/>
  <c r="K91" i="2"/>
  <c r="K417" i="2"/>
  <c r="K857" i="2"/>
  <c r="K112" i="2"/>
  <c r="K249" i="2"/>
  <c r="K343" i="2"/>
  <c r="K390" i="2"/>
  <c r="K46" i="2"/>
  <c r="K403" i="2"/>
  <c r="K452" i="2"/>
  <c r="K225" i="2"/>
  <c r="K283" i="2"/>
  <c r="K334" i="2"/>
  <c r="K464" i="2"/>
  <c r="K895" i="2"/>
  <c r="K533" i="2"/>
  <c r="K187" i="2"/>
  <c r="K512" i="2"/>
  <c r="K812" i="2"/>
  <c r="K623" i="2"/>
  <c r="K47" i="2"/>
  <c r="K319" i="2"/>
  <c r="K691" i="2"/>
  <c r="K284" i="2"/>
  <c r="K355" i="2"/>
  <c r="K772" i="2"/>
  <c r="K889" i="2"/>
  <c r="K656" i="2"/>
  <c r="K699" i="2"/>
  <c r="K53" i="2"/>
  <c r="K161" i="2"/>
  <c r="K285" i="2"/>
  <c r="K367" i="2"/>
  <c r="K522" i="2"/>
  <c r="K572" i="2"/>
  <c r="K608" i="2"/>
  <c r="K80" i="2"/>
  <c r="K113" i="2"/>
  <c r="K212" i="2"/>
  <c r="K308" i="2"/>
  <c r="K356" i="2"/>
  <c r="K501" i="2"/>
  <c r="K534" i="2"/>
  <c r="K573" i="2"/>
  <c r="K645" i="2"/>
  <c r="K839" i="2"/>
  <c r="K871" i="2"/>
  <c r="K140" i="2"/>
  <c r="K188" i="2"/>
  <c r="K368" i="2"/>
  <c r="K404" i="2"/>
  <c r="K630" i="2"/>
  <c r="K749" i="2"/>
  <c r="K790" i="2"/>
  <c r="K820" i="2"/>
  <c r="K947" i="2"/>
  <c r="K101" i="2"/>
  <c r="K502" i="2"/>
  <c r="K631" i="2"/>
  <c r="K849" i="2"/>
  <c r="K127" i="2"/>
  <c r="K162" i="2"/>
  <c r="K320" i="2"/>
  <c r="K357" i="2"/>
  <c r="K391" i="2"/>
  <c r="K490" i="2"/>
  <c r="K32" i="2"/>
  <c r="K271" i="2"/>
  <c r="K700" i="2"/>
  <c r="K872" i="2"/>
  <c r="K890" i="2"/>
  <c r="K33" i="2"/>
  <c r="K81" i="2"/>
  <c r="K213" i="2"/>
  <c r="K309" i="2"/>
  <c r="K344" i="2"/>
  <c r="K523" i="2"/>
  <c r="K574" i="2"/>
  <c r="K734" i="2"/>
  <c r="K34" i="2"/>
  <c r="K102" i="2"/>
  <c r="K141" i="2"/>
  <c r="K175" i="2"/>
  <c r="K465" i="2"/>
  <c r="K503" i="2"/>
  <c r="K609" i="2"/>
  <c r="K701" i="2"/>
  <c r="K750" i="2"/>
  <c r="K803" i="2"/>
  <c r="K840" i="2"/>
  <c r="K151" i="2"/>
  <c r="K202" i="2"/>
  <c r="K335" i="2"/>
  <c r="K549" i="2"/>
  <c r="K35" i="2"/>
  <c r="K189" i="2"/>
  <c r="K237" i="2"/>
  <c r="K440" i="2"/>
  <c r="K678" i="2"/>
  <c r="K751" i="2"/>
  <c r="K813" i="2"/>
  <c r="K931" i="2"/>
  <c r="K941" i="2"/>
  <c r="K956" i="2"/>
  <c r="K36" i="2"/>
  <c r="K65" i="2"/>
  <c r="K272" i="2"/>
  <c r="K429" i="2"/>
  <c r="K610" i="2"/>
  <c r="K646" i="2"/>
  <c r="K763" i="2"/>
  <c r="K883" i="2"/>
  <c r="K904" i="2"/>
  <c r="K918" i="2"/>
  <c r="K952" i="2"/>
  <c r="K37" i="2"/>
  <c r="K345" i="2"/>
  <c r="K405" i="2"/>
  <c r="K453" i="2"/>
  <c r="K535" i="2"/>
  <c r="K647" i="2"/>
  <c r="K692" i="2"/>
  <c r="K764" i="2"/>
  <c r="K821" i="2"/>
  <c r="K92" i="2"/>
  <c r="K152" i="2"/>
  <c r="K203" i="2"/>
  <c r="K273" i="2"/>
  <c r="K406" i="2"/>
  <c r="K513" i="2"/>
  <c r="K561" i="2"/>
  <c r="K722" i="2"/>
  <c r="K66" i="2"/>
  <c r="K103" i="2"/>
  <c r="K250" i="2"/>
  <c r="K274" i="2"/>
  <c r="K293" i="2"/>
  <c r="K491" i="2"/>
  <c r="K562" i="2"/>
  <c r="K632" i="2"/>
  <c r="K667" i="2"/>
  <c r="K791" i="2"/>
  <c r="K832" i="2"/>
  <c r="K864" i="2"/>
  <c r="K891" i="2"/>
  <c r="K915" i="2"/>
  <c r="K924" i="2"/>
  <c r="K67" i="2"/>
  <c r="K176" i="2"/>
  <c r="K214" i="2"/>
  <c r="K275" i="2"/>
  <c r="K294" i="2"/>
  <c r="K321" i="2"/>
  <c r="K392" i="2"/>
  <c r="K454" i="2"/>
  <c r="K492" i="2"/>
  <c r="K536" i="2"/>
  <c r="K575" i="2"/>
  <c r="K657" i="2"/>
  <c r="K739" i="2"/>
  <c r="K781" i="2"/>
  <c r="K814" i="2"/>
  <c r="K841" i="2"/>
  <c r="K884" i="2"/>
  <c r="K919" i="2"/>
  <c r="K935" i="2"/>
  <c r="K942" i="2"/>
  <c r="K953" i="2"/>
  <c r="K962" i="2"/>
  <c r="K153" i="2"/>
  <c r="K177" i="2"/>
  <c r="K276" i="2"/>
  <c r="K322" i="2"/>
  <c r="K369" i="2"/>
  <c r="K493" i="2"/>
  <c r="K537" i="2"/>
  <c r="K584" i="2"/>
  <c r="K668" i="2"/>
  <c r="K693" i="2"/>
  <c r="K752" i="2"/>
  <c r="K792" i="2"/>
  <c r="K815" i="2"/>
  <c r="K20" i="2"/>
  <c r="K93" i="2"/>
  <c r="K114" i="2"/>
  <c r="K154" i="2"/>
  <c r="K310" i="2"/>
  <c r="K346" i="2"/>
  <c r="K624" i="2"/>
  <c r="K669" i="2"/>
  <c r="K702" i="2"/>
  <c r="K753" i="2"/>
  <c r="K850" i="2"/>
  <c r="K68" i="2"/>
  <c r="K128" i="2"/>
  <c r="K155" i="2"/>
  <c r="K178" i="2"/>
  <c r="K418" i="2"/>
  <c r="K441" i="2"/>
  <c r="K550" i="2"/>
  <c r="K611" i="2"/>
  <c r="K723" i="2"/>
  <c r="K740" i="2"/>
  <c r="K782" i="2"/>
  <c r="K804" i="2"/>
  <c r="K943" i="2"/>
  <c r="K69" i="2"/>
  <c r="K115" i="2"/>
  <c r="K204" i="2"/>
  <c r="K238" i="2"/>
  <c r="K295" i="2"/>
  <c r="K393" i="2"/>
  <c r="K478" i="2"/>
  <c r="K563" i="2"/>
  <c r="K724" i="2"/>
  <c r="K765" i="2"/>
  <c r="K793" i="2"/>
  <c r="K816" i="2"/>
  <c r="K94" i="2"/>
  <c r="K129" i="2"/>
  <c r="K163" i="2"/>
  <c r="K215" i="2"/>
  <c r="K296" i="2"/>
  <c r="K370" i="2"/>
  <c r="K455" i="2"/>
  <c r="K538" i="2"/>
  <c r="K596" i="2"/>
  <c r="K648" i="2"/>
  <c r="K725" i="2"/>
  <c r="K741" i="2"/>
  <c r="K794" i="2"/>
  <c r="K190" i="2"/>
  <c r="K286" i="2"/>
  <c r="K323" i="2"/>
  <c r="K358" i="2"/>
  <c r="K539" i="2"/>
  <c r="K70" i="2"/>
  <c r="K104" i="2"/>
  <c r="K142" i="2"/>
  <c r="K179" i="2"/>
  <c r="K226" i="2"/>
  <c r="K297" i="2"/>
  <c r="K347" i="2"/>
  <c r="K466" i="2"/>
  <c r="K564" i="2"/>
  <c r="K612" i="2"/>
  <c r="K633" i="2"/>
  <c r="K670" i="2"/>
  <c r="K742" i="2"/>
  <c r="K783" i="2"/>
  <c r="K842" i="2"/>
  <c r="K896" i="2"/>
  <c r="K905" i="2"/>
  <c r="K925" i="2"/>
  <c r="K954" i="2"/>
  <c r="K21" i="2"/>
  <c r="K105" i="2"/>
  <c r="K130" i="2"/>
  <c r="K180" i="2"/>
  <c r="K227" i="2"/>
  <c r="K261" i="2"/>
  <c r="K336" i="2"/>
  <c r="K382" i="2"/>
  <c r="K467" i="2"/>
  <c r="K524" i="2"/>
  <c r="K576" i="2"/>
  <c r="K597" i="2"/>
  <c r="K679" i="2"/>
  <c r="K754" i="2"/>
  <c r="K851" i="2"/>
  <c r="K948" i="2"/>
  <c r="K960" i="2"/>
  <c r="K22" i="2"/>
  <c r="K71" i="2"/>
  <c r="K156" i="2"/>
  <c r="K251" i="2"/>
  <c r="K298" i="2"/>
  <c r="K442" i="2"/>
  <c r="K525" i="2"/>
  <c r="K634" i="2"/>
  <c r="K680" i="2"/>
  <c r="K726" i="2"/>
  <c r="K873" i="2"/>
  <c r="K191" i="2"/>
  <c r="K348" i="2"/>
  <c r="K551" i="2"/>
  <c r="K712" i="2"/>
  <c r="K95" i="2"/>
  <c r="K164" i="2"/>
  <c r="K383" i="2"/>
  <c r="K514" i="2"/>
  <c r="K658" i="2"/>
  <c r="K858" i="2"/>
  <c r="K906" i="2"/>
  <c r="K920" i="2"/>
  <c r="K54" i="2"/>
  <c r="K865" i="2"/>
  <c r="K916" i="2"/>
  <c r="K961" i="2"/>
  <c r="K407" i="2"/>
  <c r="K430" i="2"/>
  <c r="K515" i="2"/>
  <c r="K805" i="2"/>
  <c r="K55" i="2"/>
  <c r="K613" i="2"/>
  <c r="K192" i="2"/>
  <c r="K585" i="2"/>
  <c r="K659" i="2"/>
  <c r="K681" i="2"/>
  <c r="K773" i="2"/>
  <c r="K859" i="2"/>
  <c r="K940" i="2"/>
  <c r="K96" i="2"/>
  <c r="K106" i="2"/>
  <c r="K143" i="2"/>
  <c r="K157" i="2"/>
  <c r="K324" i="2"/>
  <c r="K468" i="2"/>
  <c r="K48" i="2"/>
  <c r="K116" i="2"/>
  <c r="K408" i="2"/>
  <c r="K586" i="2"/>
  <c r="K735" i="2"/>
  <c r="K860" i="2"/>
  <c r="K131" i="2"/>
  <c r="K311" i="2"/>
  <c r="K216" i="2"/>
  <c r="K337" i="2"/>
  <c r="K359" i="2"/>
  <c r="K419" i="2"/>
  <c r="K713" i="2"/>
  <c r="K795" i="2"/>
  <c r="K822" i="2"/>
  <c r="K936" i="2"/>
  <c r="K217" i="2"/>
  <c r="K479" i="2"/>
  <c r="K165" i="2"/>
  <c r="K193" i="2"/>
  <c r="K516" i="2"/>
  <c r="K743" i="2"/>
  <c r="K866" i="2"/>
  <c r="K9" i="2"/>
  <c r="K23" i="2"/>
  <c r="K132" i="2"/>
  <c r="K587" i="2"/>
  <c r="K10" i="2"/>
  <c r="K24" i="2"/>
  <c r="K56" i="2"/>
  <c r="K239" i="2"/>
  <c r="K287" i="2"/>
  <c r="K480" i="2"/>
  <c r="K598" i="2"/>
  <c r="K625" i="2"/>
  <c r="K205" i="2"/>
  <c r="K262" i="2"/>
  <c r="K288" i="2"/>
  <c r="K526" i="2"/>
  <c r="K874" i="2"/>
  <c r="K25" i="2"/>
  <c r="K57" i="2"/>
  <c r="K144" i="2"/>
  <c r="K263" i="2"/>
  <c r="K577" i="2"/>
  <c r="K714" i="2"/>
  <c r="K784" i="2"/>
  <c r="K107" i="2"/>
  <c r="K145" i="2"/>
  <c r="K540" i="2"/>
  <c r="K660" i="2"/>
  <c r="K744" i="2"/>
  <c r="K823" i="2"/>
  <c r="K58" i="2"/>
  <c r="K82" i="2"/>
  <c r="K117" i="2"/>
  <c r="K166" i="2"/>
  <c r="K252" i="2"/>
  <c r="K299" i="2"/>
  <c r="K360" i="2"/>
  <c r="K431" i="2"/>
  <c r="K541" i="2"/>
  <c r="K59" i="2"/>
  <c r="K504" i="2"/>
  <c r="K785" i="2"/>
  <c r="K228" i="2"/>
  <c r="K394" i="2"/>
  <c r="K766" i="2"/>
  <c r="K824" i="2"/>
  <c r="K60" i="2"/>
  <c r="K118" i="2"/>
  <c r="K181" i="2"/>
  <c r="K371" i="2"/>
  <c r="K395" i="2"/>
  <c r="K527" i="2"/>
  <c r="K565" i="2"/>
  <c r="K11" i="2"/>
  <c r="K61" i="2"/>
  <c r="K97" i="2"/>
  <c r="K167" i="2"/>
  <c r="K264" i="2"/>
  <c r="K517" i="2"/>
  <c r="K599" i="2"/>
  <c r="K736" i="2"/>
  <c r="K833" i="2"/>
  <c r="K852" i="2"/>
  <c r="K300" i="2"/>
  <c r="K409" i="2"/>
  <c r="K456" i="2"/>
  <c r="K588" i="2"/>
  <c r="K957" i="2"/>
  <c r="K119" i="2"/>
  <c r="K240" i="2"/>
  <c r="K432" i="2"/>
  <c r="K589" i="2"/>
  <c r="K715" i="2"/>
  <c r="K774" i="2"/>
  <c r="K806" i="2"/>
  <c r="K885" i="2"/>
  <c r="K72" i="2"/>
  <c r="K108" i="2"/>
  <c r="K312" i="2"/>
  <c r="K396" i="2"/>
  <c r="K443" i="2"/>
  <c r="K505" i="2"/>
  <c r="K703" i="2"/>
  <c r="K133" i="2"/>
  <c r="K433" i="2"/>
  <c r="K469" i="2"/>
  <c r="K552" i="2"/>
  <c r="K704" i="2"/>
  <c r="K755" i="2"/>
  <c r="K775" i="2"/>
  <c r="K825" i="2"/>
  <c r="K886" i="2"/>
  <c r="K12" i="2"/>
  <c r="K109" i="2"/>
  <c r="K120" i="2"/>
  <c r="K168" i="2"/>
  <c r="K649" i="2"/>
  <c r="K834" i="2"/>
  <c r="K880" i="2"/>
  <c r="K958" i="2"/>
  <c r="K13" i="2"/>
  <c r="K83" i="2"/>
  <c r="K444" i="2"/>
  <c r="K528" i="2"/>
  <c r="K682" i="2"/>
  <c r="K745" i="2"/>
  <c r="K635" i="2"/>
  <c r="K843" i="2"/>
  <c r="K349" i="2"/>
  <c r="K600" i="2"/>
  <c r="K921" i="2"/>
  <c r="K277" i="2"/>
  <c r="K289" i="2"/>
  <c r="K384" i="2"/>
  <c r="K553" i="2"/>
  <c r="K601" i="2"/>
  <c r="K636" i="2"/>
  <c r="K671" i="2"/>
  <c r="K756" i="2"/>
  <c r="K84" i="2"/>
  <c r="K361" i="2"/>
  <c r="K420" i="2"/>
  <c r="K529" i="2"/>
  <c r="K637" i="2"/>
  <c r="K786" i="2"/>
  <c r="K73" i="2"/>
  <c r="K85" i="2"/>
  <c r="K265" i="2"/>
  <c r="K301" i="2"/>
  <c r="K421" i="2"/>
  <c r="K445" i="2"/>
  <c r="K457" i="2"/>
  <c r="K253" i="2"/>
  <c r="K397" i="2"/>
  <c r="K776" i="2"/>
  <c r="K867" i="2"/>
  <c r="K49" i="2"/>
  <c r="K121" i="2"/>
  <c r="K169" i="2"/>
  <c r="K241" i="2"/>
  <c r="K372" i="2"/>
  <c r="K746" i="2"/>
  <c r="K926" i="2"/>
  <c r="K944" i="2"/>
  <c r="K955" i="2"/>
  <c r="K229" i="2"/>
  <c r="K313" i="2"/>
  <c r="K325" i="2"/>
  <c r="K373" i="2"/>
  <c r="K385" i="2"/>
  <c r="K481" i="2"/>
  <c r="K796" i="2"/>
  <c r="B26" i="4" a="1"/>
  <c r="B26" i="4" s="1"/>
  <c r="B27" i="4" a="1"/>
  <c r="B27" i="4" s="1"/>
  <c r="B28" i="4" a="1"/>
  <c r="B28" i="4" s="1"/>
  <c r="B29" i="4" a="1"/>
  <c r="B29" i="4" s="1"/>
  <c r="B30" i="4" l="1" a="1"/>
  <c r="B30" i="4" s="1"/>
  <c r="B31" i="4" a="1"/>
  <c r="B31" i="4" s="1"/>
  <c r="E14" i="4" a="1"/>
  <c r="E14" i="4" s="1"/>
  <c r="F14" i="4" s="1" a="1"/>
  <c r="F14" i="4" s="1"/>
  <c r="A14" i="4" a="1"/>
  <c r="E3" i="4" a="1"/>
  <c r="E3" i="4" s="1"/>
  <c r="F3" i="4" s="1"/>
  <c r="A3" i="4" a="1"/>
  <c r="A3" i="4" l="1"/>
  <c r="B3" i="4" s="1" a="1"/>
  <c r="B3" i="4" s="1"/>
  <c r="B5" i="4" a="1"/>
  <c r="B5" i="4" s="1"/>
  <c r="A14" i="4"/>
  <c r="B14" i="4" s="1" a="1"/>
  <c r="B14" i="4" s="1"/>
  <c r="B15" i="4" a="1"/>
  <c r="B15" i="4" s="1"/>
  <c r="B16" i="4" a="1"/>
  <c r="B16" i="4" s="1"/>
  <c r="B19" i="4" a="1"/>
  <c r="B19" i="4" s="1"/>
  <c r="B17" i="4" a="1"/>
  <c r="B17" i="4" s="1"/>
  <c r="B18" i="4" a="1"/>
  <c r="B18" i="4" s="1"/>
  <c r="B22" i="4" a="1"/>
  <c r="B22" i="4" s="1"/>
  <c r="B23" i="4" a="1"/>
  <c r="B23" i="4" s="1"/>
  <c r="B20" i="4" a="1"/>
  <c r="B20" i="4" s="1"/>
  <c r="B24" i="4" a="1"/>
  <c r="B24" i="4" s="1"/>
  <c r="B25" i="4" a="1"/>
  <c r="B25" i="4" s="1"/>
  <c r="B21" i="4" a="1"/>
  <c r="B21" i="4" s="1"/>
  <c r="F15" i="4" a="1"/>
  <c r="F15" i="4" s="1"/>
  <c r="F16" i="4" a="1"/>
  <c r="F16" i="4" s="1"/>
  <c r="B9" i="4" a="1"/>
  <c r="B9" i="4" s="1"/>
  <c r="F7" i="4"/>
  <c r="B8" i="4" a="1"/>
  <c r="B8" i="4" s="1"/>
  <c r="F6" i="4"/>
  <c r="B4" i="4" a="1"/>
  <c r="B4" i="4" s="1"/>
  <c r="B7" i="4" a="1"/>
  <c r="B7" i="4" s="1"/>
  <c r="F5" i="4"/>
  <c r="B6" i="4" a="1"/>
  <c r="B6" i="4" s="1"/>
  <c r="F4" i="4"/>
  <c r="F10" i="4"/>
  <c r="F9" i="4"/>
  <c r="B10" i="4" a="1"/>
  <c r="B10" i="4" s="1"/>
  <c r="F8" i="4"/>
  <c r="F17" i="4" l="1"/>
  <c r="B11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6A7504-355E-4FE0-AAD9-A2F6FCBCEC77}" name="Conexió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D5695EB5-495B-48FC-B040-3720023BFC2D}" keepAlive="1" name="Consulta - Archivo de ejemplo" description="Conexión a la consulta 'Archivo de ejemplo' en el libro." type="5" refreshedVersion="0" background="1">
    <dbPr connection="Provider=Microsoft.Mashup.OleDb.1;Data Source=$Workbook$;Location=&quot;Archivo de ejemplo&quot;;Extended Properties=&quot;&quot;" command="SELECT * FROM [Archivo de ejemplo]"/>
  </connection>
  <connection id="3" xr16:uid="{045EE630-2F90-4417-9418-D29A7273C7CE}" keepAlive="1" name="Consulta - Archivo de ejemplo (2)" description="Conexión a la consulta 'Archivo de ejemplo (2)' en el libro." type="5" refreshedVersion="0" background="1">
    <dbPr connection="Provider=Microsoft.Mashup.OleDb.1;Data Source=$Workbook$;Location=&quot;Archivo de ejemplo (2)&quot;;Extended Properties=&quot;&quot;" command="SELECT * FROM [Archivo de ejemplo (2)]"/>
  </connection>
  <connection id="4" xr16:uid="{16C34275-DF8E-43C3-8D85-A3D7DC3B4E23}" name="Consulta - Fact_Ventas_Cabecera" description="Conexión a la consulta 'Fact_Ventas_Cabecera' en el libro." type="100" refreshedVersion="8" minRefreshableVersion="5">
    <extLst>
      <ext xmlns:x15="http://schemas.microsoft.com/office/spreadsheetml/2010/11/main" uri="{DE250136-89BD-433C-8126-D09CA5730AF9}">
        <x15:connection id="cbc464c9-4d9d-43e4-89c2-4a94fe08c2a1"/>
      </ext>
    </extLst>
  </connection>
  <connection id="5" xr16:uid="{2117AC3E-E833-4B35-B122-EE92935B2381}" name="Consulta - Fact_Ventas_Detalle" description="Conexión a la consulta 'Fact_Ventas_Detalle' en el libro." type="100" refreshedVersion="8" minRefreshableVersion="5">
    <extLst>
      <ext xmlns:x15="http://schemas.microsoft.com/office/spreadsheetml/2010/11/main" uri="{DE250136-89BD-433C-8126-D09CA5730AF9}">
        <x15:connection id="1fd28f6e-248f-40f7-9f7d-1d459ae083fb"/>
      </ext>
    </extLst>
  </connection>
  <connection id="6" xr16:uid="{31D601ED-9D17-4338-982B-EF4890FB8A6F}" keepAlive="1" name="Consulta - Parámetro1" description="Conexión a la consulta 'Parámetro1' en el libro." type="5" refreshedVersion="0" background="1">
    <dbPr connection="Provider=Microsoft.Mashup.OleDb.1;Data Source=$Workbook$;Location=Parámetro1;Extended Properties=&quot;&quot;" command="SELECT * FROM [Parámetro1]"/>
  </connection>
  <connection id="7" xr16:uid="{20AEC3A7-4B85-4D3C-B81E-FD6FCA0CB3EB}" keepAlive="1" name="Consulta - Parámetro2" description="Conexión a la consulta 'Parámetro2' en el libro." type="5" refreshedVersion="0" background="1">
    <dbPr connection="Provider=Microsoft.Mashup.OleDb.1;Data Source=$Workbook$;Location=Parámetro2;Extended Properties=&quot;&quot;" command="SELECT * FROM [Parámetro2]"/>
  </connection>
  <connection id="8" xr16:uid="{99D7CE28-EA3F-4D64-91E2-64E9E632D4EE}" keepAlive="1" name="Consulta - Transformar archivo" description="Conexión a la consulta 'Transformar archivo' en el libro." type="5" refreshedVersion="0" background="1">
    <dbPr connection="Provider=Microsoft.Mashup.OleDb.1;Data Source=$Workbook$;Location=&quot;Transformar archivo&quot;;Extended Properties=&quot;&quot;" command="SELECT * FROM [Transformar archivo]"/>
  </connection>
  <connection id="9" xr16:uid="{B7DE6B4E-B121-423E-9C9F-FCCCBD681339}" keepAlive="1" name="Consulta - Transformar archivo (2)" description="Conexión a la consulta 'Transformar archivo (2)' en el libro." type="5" refreshedVersion="0" background="1">
    <dbPr connection="Provider=Microsoft.Mashup.OleDb.1;Data Source=$Workbook$;Location=&quot;Transformar archivo (2)&quot;;Extended Properties=&quot;&quot;" command="SELECT * FROM [Transformar archivo (2)]"/>
  </connection>
  <connection id="10" xr16:uid="{2657B374-6AB7-40BA-A031-DF861EC58D4D}" keepAlive="1" name="Consulta - Transformar archivo de ejemplo" description="Conexión a la consulta 'Transformar archivo de ejemplo' en el libro." type="5" refreshedVersion="0" background="1">
    <dbPr connection="Provider=Microsoft.Mashup.OleDb.1;Data Source=$Workbook$;Location=&quot;Transformar archivo de ejemplo&quot;;Extended Properties=&quot;&quot;" command="SELECT * FROM [Transformar archivo de ejemplo]"/>
  </connection>
  <connection id="11" xr16:uid="{AC4B11D2-9FFC-47EC-B1B3-4F5C00943551}" keepAlive="1" name="Consulta - Transformar archivo de ejemplo (2)" description="Conexión a la consulta 'Transformar archivo de ejemplo (2)' en el libro." type="5" refreshedVersion="0" background="1">
    <dbPr connection="Provider=Microsoft.Mashup.OleDb.1;Data Source=$Workbook$;Location=&quot;Transformar archivo de ejemplo (2)&quot;;Extended Properties=&quot;&quot;" command="SELECT * FROM [Transformar archivo de ejemplo (2)]"/>
  </connection>
  <connection id="12" xr16:uid="{A0C78A51-DD8D-48B3-81AD-F020CFF95326}" keepAlive="1" name="ModelConnection_DatosExternos_1" description="Modelo de datos" type="5" refreshedVersion="8" minRefreshableVersion="5" saveData="1">
    <dbPr connection="Data Model Connection" command="Fact_Ventas_Detalle" commandType="3"/>
    <extLst>
      <ext xmlns:x15="http://schemas.microsoft.com/office/spreadsheetml/2010/11/main" uri="{DE250136-89BD-433C-8126-D09CA5730AF9}">
        <x15:connection id="" model="1"/>
      </ext>
    </extLst>
  </connection>
  <connection id="13" xr16:uid="{AFA6B50F-B990-4782-AA2B-488BE2007359}" keepAlive="1" name="ModelConnection_DatosExternos_2" description="Modelo de datos" type="5" refreshedVersion="8" minRefreshableVersion="5" saveData="1">
    <dbPr connection="Data Model Connection" command="Fact_Ventas_Cabecera" commandType="3"/>
    <extLst>
      <ext xmlns:x15="http://schemas.microsoft.com/office/spreadsheetml/2010/11/main" uri="{DE250136-89BD-433C-8126-D09CA5730AF9}">
        <x15:connection id="" model="1"/>
      </ext>
    </extLst>
  </connection>
  <connection id="14" xr16:uid="{4D377B6E-2BA9-42E7-80BE-DAB6498E8A6C}" keepAlive="1" name="ThisWorkbookDataModel" description="Modelo de dat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<sst xmlns="http://schemas.openxmlformats.org/spreadsheetml/2006/main" count="6264" uniqueCount="848">
  <si>
    <t>ID Linea</t>
  </si>
  <si>
    <t>ID Transaccion</t>
  </si>
  <si>
    <t>Nro Linea</t>
  </si>
  <si>
    <t>SKU</t>
  </si>
  <si>
    <t>Producto</t>
  </si>
  <si>
    <t>Categoria</t>
  </si>
  <si>
    <t>Cantidad</t>
  </si>
  <si>
    <t>Precio Unitario</t>
  </si>
  <si>
    <t>Costo Unitario</t>
  </si>
  <si>
    <t>Descuento Linea</t>
  </si>
  <si>
    <t>Total</t>
  </si>
  <si>
    <t>TXN-20260731-001</t>
  </si>
  <si>
    <t>PROD-102</t>
  </si>
  <si>
    <t>Monitor 27 UHD</t>
  </si>
  <si>
    <t>Tecnología</t>
  </si>
  <si>
    <t>TXN-20260801-001</t>
  </si>
  <si>
    <t>TXN-20260802-001</t>
  </si>
  <si>
    <t>PROD-105</t>
  </si>
  <si>
    <t>Auriculares Bluetooth</t>
  </si>
  <si>
    <t>Audio</t>
  </si>
  <si>
    <t>TXN-20260803-001</t>
  </si>
  <si>
    <t>TXN-20260727-001</t>
  </si>
  <si>
    <t>TXN-20260728-001</t>
  </si>
  <si>
    <t>TXN-20260729-001</t>
  </si>
  <si>
    <t>PROD-101</t>
  </si>
  <si>
    <t>Notebook Pro 15</t>
  </si>
  <si>
    <t>TXN-20260730-001</t>
  </si>
  <si>
    <t>PROD-107</t>
  </si>
  <si>
    <t>Escritorio Ajustable</t>
  </si>
  <si>
    <t>Muebles</t>
  </si>
  <si>
    <t>TXN-20260727-002</t>
  </si>
  <si>
    <t>PROD-104</t>
  </si>
  <si>
    <t>Mouse Inalámbrico</t>
  </si>
  <si>
    <t>Accesorios</t>
  </si>
  <si>
    <t>TXN-20260728-002</t>
  </si>
  <si>
    <t>TXN-20260730-002</t>
  </si>
  <si>
    <t>TXN-20260727-003</t>
  </si>
  <si>
    <t>PROD-103</t>
  </si>
  <si>
    <t>Teclado Mecánico RGB</t>
  </si>
  <si>
    <t>PROD-108</t>
  </si>
  <si>
    <t>Webcam 4K Ultra</t>
  </si>
  <si>
    <t>TXN-20260802-002</t>
  </si>
  <si>
    <t>PROD-106</t>
  </si>
  <si>
    <t>Silla Ergonómica Oficina</t>
  </si>
  <si>
    <t>TXN-20260803-002</t>
  </si>
  <si>
    <t>TXN-20260803-003</t>
  </si>
  <si>
    <t>TXN-20260728-003</t>
  </si>
  <si>
    <t>TXN-20260729-002</t>
  </si>
  <si>
    <t>TXN-20260730-003</t>
  </si>
  <si>
    <t>TXN-20260731-002</t>
  </si>
  <si>
    <t>TXN-20260801-002</t>
  </si>
  <si>
    <t>TXN-20260802-003</t>
  </si>
  <si>
    <t>TXN-20260727-004</t>
  </si>
  <si>
    <t>TXN-20260727-005</t>
  </si>
  <si>
    <t>TXN-20260731-003</t>
  </si>
  <si>
    <t>TXN-20260730-004</t>
  </si>
  <si>
    <t>TXN-20260801-003</t>
  </si>
  <si>
    <t>TXN-20260803-004</t>
  </si>
  <si>
    <t>TXN-20260801-004</t>
  </si>
  <si>
    <t>TXN-20260728-004</t>
  </si>
  <si>
    <t>TXN-20260802-004</t>
  </si>
  <si>
    <t>TXN-20260801-005</t>
  </si>
  <si>
    <t>TXN-20260727-006</t>
  </si>
  <si>
    <t>TXN-20260729-003</t>
  </si>
  <si>
    <t>TXN-20260731-004</t>
  </si>
  <si>
    <t>TXN-20260802-005</t>
  </si>
  <si>
    <t>TXN-20260729-004</t>
  </si>
  <si>
    <t>TXN-20260801-006</t>
  </si>
  <si>
    <t>TXN-20260803-005</t>
  </si>
  <si>
    <t>TXN-20260730-005</t>
  </si>
  <si>
    <t>TXN-20260727-007</t>
  </si>
  <si>
    <t>TXN-20260728-005</t>
  </si>
  <si>
    <t>TXN-20260727-008</t>
  </si>
  <si>
    <t>TXN-20260801-007</t>
  </si>
  <si>
    <t>TXN-20260730-006</t>
  </si>
  <si>
    <t>TXN-20260731-005</t>
  </si>
  <si>
    <t>TXN-20260802-006</t>
  </si>
  <si>
    <t>TXN-20260803-006</t>
  </si>
  <si>
    <t>TXN-20260802-007</t>
  </si>
  <si>
    <t>TXN-20260730-007</t>
  </si>
  <si>
    <t>TXN-20260728-006</t>
  </si>
  <si>
    <t>TXN-20260729-005</t>
  </si>
  <si>
    <t>TXN-20260801-008</t>
  </si>
  <si>
    <t>TXN-20260728-007</t>
  </si>
  <si>
    <t>TXN-20260731-006</t>
  </si>
  <si>
    <t>TXN-20260802-008</t>
  </si>
  <si>
    <t>TXN-20260727-009</t>
  </si>
  <si>
    <t>TXN-20260801-009</t>
  </si>
  <si>
    <t>TXN-20260803-007</t>
  </si>
  <si>
    <t>TXN-20260729-006</t>
  </si>
  <si>
    <t>TXN-20260730-008</t>
  </si>
  <si>
    <t>TXN-20260731-007</t>
  </si>
  <si>
    <t>TXN-20260802-009</t>
  </si>
  <si>
    <t>TXN-20260803-008</t>
  </si>
  <si>
    <t>TXN-20260727-010</t>
  </si>
  <si>
    <t>TXN-20260731-008</t>
  </si>
  <si>
    <t>TXN-20260801-010</t>
  </si>
  <si>
    <t>TXN-20260728-008</t>
  </si>
  <si>
    <t>TXN-20260727-011</t>
  </si>
  <si>
    <t>TXN-20260729-007</t>
  </si>
  <si>
    <t>TXN-20260803-009</t>
  </si>
  <si>
    <t>TXN-20260801-011</t>
  </si>
  <si>
    <t>TXN-20260727-012</t>
  </si>
  <si>
    <t>TXN-20260728-009</t>
  </si>
  <si>
    <t>TXN-20260731-009</t>
  </si>
  <si>
    <t>TXN-20260729-008</t>
  </si>
  <si>
    <t>TXN-20260730-009</t>
  </si>
  <si>
    <t>TXN-20260803-010</t>
  </si>
  <si>
    <t>TXN-20260802-010</t>
  </si>
  <si>
    <t>TXN-20260731-010</t>
  </si>
  <si>
    <t>TXN-20260803-011</t>
  </si>
  <si>
    <t>TXN-20260728-010</t>
  </si>
  <si>
    <t>TXN-20260729-009</t>
  </si>
  <si>
    <t>TXN-20260802-011</t>
  </si>
  <si>
    <t>TXN-20260731-011</t>
  </si>
  <si>
    <t>TXN-20260801-012</t>
  </si>
  <si>
    <t>TXN-20260729-010</t>
  </si>
  <si>
    <t>TXN-20260730-010</t>
  </si>
  <si>
    <t>TXN-20260727-013</t>
  </si>
  <si>
    <t>TXN-20260803-012</t>
  </si>
  <si>
    <t>TXN-20260802-012</t>
  </si>
  <si>
    <t>TXN-20260727-014</t>
  </si>
  <si>
    <t>TXN-20260728-011</t>
  </si>
  <si>
    <t>TXN-20260731-012</t>
  </si>
  <si>
    <t>TXN-20260729-011</t>
  </si>
  <si>
    <t>TXN-20260727-015</t>
  </si>
  <si>
    <t>TXN-20260801-013</t>
  </si>
  <si>
    <t>TXN-20260730-011</t>
  </si>
  <si>
    <t>TXN-20260802-013</t>
  </si>
  <si>
    <t>TXN-20260801-014</t>
  </si>
  <si>
    <t>TXN-20260803-013</t>
  </si>
  <si>
    <t>TXN-20260731-013</t>
  </si>
  <si>
    <t>TXN-20260729-012</t>
  </si>
  <si>
    <t>TXN-20260728-012</t>
  </si>
  <si>
    <t>TXN-20260802-014</t>
  </si>
  <si>
    <t>TXN-20260727-016</t>
  </si>
  <si>
    <t>TXN-20260803-014</t>
  </si>
  <si>
    <t>TXN-20260801-015</t>
  </si>
  <si>
    <t>TXN-20260730-012</t>
  </si>
  <si>
    <t>TXN-20260803-015</t>
  </si>
  <si>
    <t>TXN-20260727-017</t>
  </si>
  <si>
    <t>TXN-20260731-014</t>
  </si>
  <si>
    <t>TXN-20260802-015</t>
  </si>
  <si>
    <t>TXN-20260803-016</t>
  </si>
  <si>
    <t>TXN-20260727-018</t>
  </si>
  <si>
    <t>TXN-20260729-013</t>
  </si>
  <si>
    <t>TXN-20260803-017</t>
  </si>
  <si>
    <t>TXN-20260728-013</t>
  </si>
  <si>
    <t>TXN-20260730-013</t>
  </si>
  <si>
    <t>TXN-20260801-016</t>
  </si>
  <si>
    <t>TXN-20260729-014</t>
  </si>
  <si>
    <t>TXN-20260802-016</t>
  </si>
  <si>
    <t>TXN-20260803-018</t>
  </si>
  <si>
    <t>TXN-20260727-019</t>
  </si>
  <si>
    <t>TXN-20260730-014</t>
  </si>
  <si>
    <t>TXN-20260728-014</t>
  </si>
  <si>
    <t>TXN-20260730-015</t>
  </si>
  <si>
    <t>TXN-20260802-017</t>
  </si>
  <si>
    <t>TXN-20260729-015</t>
  </si>
  <si>
    <t>TXN-20260731-015</t>
  </si>
  <si>
    <t>TXN-20260728-015</t>
  </si>
  <si>
    <t>TXN-20260802-018</t>
  </si>
  <si>
    <t>TXN-20260729-016</t>
  </si>
  <si>
    <t>TXN-20260730-016</t>
  </si>
  <si>
    <t>TXN-20260801-017</t>
  </si>
  <si>
    <t>TXN-20260803-019</t>
  </si>
  <si>
    <t>TXN-20260728-016</t>
  </si>
  <si>
    <t>TXN-20260727-020</t>
  </si>
  <si>
    <t>TXN-20260729-017</t>
  </si>
  <si>
    <t>TXN-20260731-016</t>
  </si>
  <si>
    <t>TXN-20260727-021</t>
  </si>
  <si>
    <t>TXN-20260802-019</t>
  </si>
  <si>
    <t>TXN-20260729-018</t>
  </si>
  <si>
    <t>TXN-20260801-018</t>
  </si>
  <si>
    <t>TXN-20260728-017</t>
  </si>
  <si>
    <t>TXN-20260730-017</t>
  </si>
  <si>
    <t>TXN-20260729-019</t>
  </si>
  <si>
    <t>TXN-20260730-018</t>
  </si>
  <si>
    <t>TXN-20260803-020</t>
  </si>
  <si>
    <t>TXN-20260727-022</t>
  </si>
  <si>
    <t>TXN-20260731-017</t>
  </si>
  <si>
    <t>TXN-20260801-019</t>
  </si>
  <si>
    <t>TXN-20260803-021</t>
  </si>
  <si>
    <t>TXN-20260727-023</t>
  </si>
  <si>
    <t>TXN-20260728-018</t>
  </si>
  <si>
    <t>TXN-20260802-020</t>
  </si>
  <si>
    <t>TXN-20260729-020</t>
  </si>
  <si>
    <t>TXN-20260730-019</t>
  </si>
  <si>
    <t>TXN-20260731-018</t>
  </si>
  <si>
    <t>TXN-20260803-022</t>
  </si>
  <si>
    <t>TXN-20260730-020</t>
  </si>
  <si>
    <t>TXN-20260727-024</t>
  </si>
  <si>
    <t>TXN-20260801-020</t>
  </si>
  <si>
    <t>TXN-20260803-023</t>
  </si>
  <si>
    <t>TXN-20260731-019</t>
  </si>
  <si>
    <t>TXN-20260728-019</t>
  </si>
  <si>
    <t>TXN-20260801-021</t>
  </si>
  <si>
    <t>TXN-20260802-021</t>
  </si>
  <si>
    <t>TXN-20260729-021</t>
  </si>
  <si>
    <t>TXN-20260730-021</t>
  </si>
  <si>
    <t>TXN-20260802-022</t>
  </si>
  <si>
    <t>TXN-20260731-020</t>
  </si>
  <si>
    <t>TXN-20260727-025</t>
  </si>
  <si>
    <t>TXN-20260728-020</t>
  </si>
  <si>
    <t>TXN-20260731-021</t>
  </si>
  <si>
    <t>TXN-20260802-023</t>
  </si>
  <si>
    <t>TXN-20260803-024</t>
  </si>
  <si>
    <t>TXN-20260731-022</t>
  </si>
  <si>
    <t>TXN-20260801-022</t>
  </si>
  <si>
    <t>TXN-20260802-024</t>
  </si>
  <si>
    <t>TXN-20260729-022</t>
  </si>
  <si>
    <t>TXN-20260730-022</t>
  </si>
  <si>
    <t>TXN-20260802-025</t>
  </si>
  <si>
    <t>TXN-20260728-021</t>
  </si>
  <si>
    <t>TXN-20260731-023</t>
  </si>
  <si>
    <t>TXN-20260801-023</t>
  </si>
  <si>
    <t>TXN-20260727-026</t>
  </si>
  <si>
    <t>TXN-20260802-026</t>
  </si>
  <si>
    <t>TXN-20260728-022</t>
  </si>
  <si>
    <t>TXN-20260803-025</t>
  </si>
  <si>
    <t>TXN-20260730-023</t>
  </si>
  <si>
    <t>TXN-20260801-024</t>
  </si>
  <si>
    <t>TXN-20260729-023</t>
  </si>
  <si>
    <t>TXN-20260731-024</t>
  </si>
  <si>
    <t>TXN-20260729-024</t>
  </si>
  <si>
    <t>TXN-20260802-027</t>
  </si>
  <si>
    <t>TXN-20260727-027</t>
  </si>
  <si>
    <t>TXN-20260728-023</t>
  </si>
  <si>
    <t>TXN-20260731-025</t>
  </si>
  <si>
    <t>TXN-20260801-025</t>
  </si>
  <si>
    <t>TXN-20260802-028</t>
  </si>
  <si>
    <t>TXN-20260803-026</t>
  </si>
  <si>
    <t>TXN-20260727-028</t>
  </si>
  <si>
    <t>TXN-20260730-024</t>
  </si>
  <si>
    <t>TXN-20260728-024</t>
  </si>
  <si>
    <t>TXN-20260729-025</t>
  </si>
  <si>
    <t>TXN-20260801-026</t>
  </si>
  <si>
    <t>TXN-20260803-027</t>
  </si>
  <si>
    <t>TXN-20260728-025</t>
  </si>
  <si>
    <t>TXN-20260730-025</t>
  </si>
  <si>
    <t>TXN-20260731-026</t>
  </si>
  <si>
    <t>TXN-20260728-026</t>
  </si>
  <si>
    <t>TXN-20260802-029</t>
  </si>
  <si>
    <t>TXN-20260728-027</t>
  </si>
  <si>
    <t>TXN-20260803-028</t>
  </si>
  <si>
    <t>TXN-20260729-026</t>
  </si>
  <si>
    <t>TXN-20260730-026</t>
  </si>
  <si>
    <t>TXN-20260803-029</t>
  </si>
  <si>
    <t>TXN-20260728-028</t>
  </si>
  <si>
    <t>TXN-20260801-027</t>
  </si>
  <si>
    <t>TXN-20260728-029</t>
  </si>
  <si>
    <t>TXN-20260731-027</t>
  </si>
  <si>
    <t>TXN-20260730-027</t>
  </si>
  <si>
    <t>TXN-20260802-030</t>
  </si>
  <si>
    <t>TXN-20260803-030</t>
  </si>
  <si>
    <t>TXN-20260801-028</t>
  </si>
  <si>
    <t>TXN-20260729-027</t>
  </si>
  <si>
    <t>TXN-20260802-031</t>
  </si>
  <si>
    <t>TXN-20260730-028</t>
  </si>
  <si>
    <t>TXN-20260728-030</t>
  </si>
  <si>
    <t>TXN-20260731-028</t>
  </si>
  <si>
    <t>TXN-20260803-031</t>
  </si>
  <si>
    <t>TXN-20260730-029</t>
  </si>
  <si>
    <t>TXN-20260801-029</t>
  </si>
  <si>
    <t>TXN-20260729-028</t>
  </si>
  <si>
    <t>TXN-20260731-029</t>
  </si>
  <si>
    <t>TXN-20260728-031</t>
  </si>
  <si>
    <t>TXN-20260801-030</t>
  </si>
  <si>
    <t>TXN-20260803-032</t>
  </si>
  <si>
    <t>TXN-20260803-033</t>
  </si>
  <si>
    <t>TXN-20260729-029</t>
  </si>
  <si>
    <t>TXN-20260729-030</t>
  </si>
  <si>
    <t>TXN-20260801-031</t>
  </si>
  <si>
    <t>TXN-20260729-031</t>
  </si>
  <si>
    <t>TXN-20260728-032</t>
  </si>
  <si>
    <t>TXN-20260729-032</t>
  </si>
  <si>
    <t>TXN-20260801-032</t>
  </si>
  <si>
    <t>TXN-20260728-033</t>
  </si>
  <si>
    <t>TXN-20260728-034</t>
  </si>
  <si>
    <t>TXN-20260729-033</t>
  </si>
  <si>
    <t>TXN-20260729-034</t>
  </si>
  <si>
    <t>TXN-20260728-035</t>
  </si>
  <si>
    <t>TXN-20260801-033</t>
  </si>
  <si>
    <t>TXN-20260801-034</t>
  </si>
  <si>
    <t>TXN-20260729-035</t>
  </si>
  <si>
    <t>TXN-20260801-035</t>
  </si>
  <si>
    <t>TXN-20260729-036</t>
  </si>
  <si>
    <t>TXN-20260801-036</t>
  </si>
  <si>
    <t>TXN-20260801-037</t>
  </si>
  <si>
    <t>TXN-20260729-037</t>
  </si>
  <si>
    <t>TXN-20260729-038</t>
  </si>
  <si>
    <t>TXN-20260729-039</t>
  </si>
  <si>
    <t>TXN-20260729-040</t>
  </si>
  <si>
    <t>Fecha Hora</t>
  </si>
  <si>
    <t>Sucursal</t>
  </si>
  <si>
    <t>Canal Venta</t>
  </si>
  <si>
    <t>ID Cliente</t>
  </si>
  <si>
    <t>Metodo Pago</t>
  </si>
  <si>
    <t>Vendedor</t>
  </si>
  <si>
    <t>SUC-003 E-Commerce</t>
  </si>
  <si>
    <t>E-Commerce</t>
  </si>
  <si>
    <t>CLI-4611</t>
  </si>
  <si>
    <t>Efectivo</t>
  </si>
  <si>
    <t>SISTEMA-WEB</t>
  </si>
  <si>
    <t>CLI-6925</t>
  </si>
  <si>
    <t>Tarjeta Débito</t>
  </si>
  <si>
    <t>CLI-8428</t>
  </si>
  <si>
    <t>Transferencia</t>
  </si>
  <si>
    <t>CLI-9348</t>
  </si>
  <si>
    <t>CLI-2832</t>
  </si>
  <si>
    <t>CLI-2612</t>
  </si>
  <si>
    <t>Tarjeta Crédito</t>
  </si>
  <si>
    <t>CLI-2528</t>
  </si>
  <si>
    <t>CLI-1931</t>
  </si>
  <si>
    <t>CLI-8491</t>
  </si>
  <si>
    <t>CLI-9288</t>
  </si>
  <si>
    <t>CLI-7211</t>
  </si>
  <si>
    <t>CLI-8784</t>
  </si>
  <si>
    <t>CLI-2746</t>
  </si>
  <si>
    <t>CLI-9976</t>
  </si>
  <si>
    <t>CLI-8619</t>
  </si>
  <si>
    <t>CLI-1420</t>
  </si>
  <si>
    <t>CLI-8532</t>
  </si>
  <si>
    <t>CLI-4995</t>
  </si>
  <si>
    <t>CLI-5820</t>
  </si>
  <si>
    <t>CLI-9042</t>
  </si>
  <si>
    <t>CLI-8381</t>
  </si>
  <si>
    <t>CLI-3634</t>
  </si>
  <si>
    <t>CLI-6091</t>
  </si>
  <si>
    <t>CLI-4727</t>
  </si>
  <si>
    <t>CLI-1474</t>
  </si>
  <si>
    <t>CLI-3417</t>
  </si>
  <si>
    <t>CLI-1996</t>
  </si>
  <si>
    <t>CLI-4522</t>
  </si>
  <si>
    <t>CLI-1842</t>
  </si>
  <si>
    <t>CLI-7475</t>
  </si>
  <si>
    <t>CLI-7626</t>
  </si>
  <si>
    <t>CLI-3419</t>
  </si>
  <si>
    <t>CLI-6766</t>
  </si>
  <si>
    <t>CLI-3112</t>
  </si>
  <si>
    <t>CLI-3953</t>
  </si>
  <si>
    <t>CLI-8277</t>
  </si>
  <si>
    <t>CLI-5469</t>
  </si>
  <si>
    <t>CLI-4941</t>
  </si>
  <si>
    <t>CLI-6170</t>
  </si>
  <si>
    <t>CLI-8204</t>
  </si>
  <si>
    <t>CLI-2311</t>
  </si>
  <si>
    <t>CLI-7077</t>
  </si>
  <si>
    <t>CLI-1424</t>
  </si>
  <si>
    <t>CLI-4515</t>
  </si>
  <si>
    <t>CLI-9612</t>
  </si>
  <si>
    <t>CLI-3804</t>
  </si>
  <si>
    <t>CLI-7442</t>
  </si>
  <si>
    <t>CLI-6511</t>
  </si>
  <si>
    <t>CLI-7765</t>
  </si>
  <si>
    <t>CLI-3074</t>
  </si>
  <si>
    <t>CLI-8118</t>
  </si>
  <si>
    <t>CLI-4590</t>
  </si>
  <si>
    <t>CLI-1719</t>
  </si>
  <si>
    <t>CLI-6309</t>
  </si>
  <si>
    <t>CLI-4351</t>
  </si>
  <si>
    <t>CLI-2362</t>
  </si>
  <si>
    <t>CLI-5862</t>
  </si>
  <si>
    <t>CLI-1332</t>
  </si>
  <si>
    <t>CLI-6130</t>
  </si>
  <si>
    <t>CLI-5594</t>
  </si>
  <si>
    <t>CLI-6724</t>
  </si>
  <si>
    <t>CLI-9996</t>
  </si>
  <si>
    <t>CLI-7367</t>
  </si>
  <si>
    <t>CLI-5922</t>
  </si>
  <si>
    <t>CLI-2179</t>
  </si>
  <si>
    <t>CLI-8162</t>
  </si>
  <si>
    <t>CLI-5822</t>
  </si>
  <si>
    <t>CLI-7957</t>
  </si>
  <si>
    <t>CLI-5028</t>
  </si>
  <si>
    <t>CLI-7708</t>
  </si>
  <si>
    <t>CLI-8145</t>
  </si>
  <si>
    <t>CLI-1155</t>
  </si>
  <si>
    <t>CLI-6906</t>
  </si>
  <si>
    <t>CLI-3083</t>
  </si>
  <si>
    <t>CLI-1562</t>
  </si>
  <si>
    <t>CLI-3232</t>
  </si>
  <si>
    <t>CLI-7963</t>
  </si>
  <si>
    <t>CLI-5849</t>
  </si>
  <si>
    <t>CLI-4843</t>
  </si>
  <si>
    <t>CLI-9591</t>
  </si>
  <si>
    <t>CLI-1101</t>
  </si>
  <si>
    <t>CLI-4259</t>
  </si>
  <si>
    <t>CLI-4429</t>
  </si>
  <si>
    <t>CLI-7309</t>
  </si>
  <si>
    <t>CLI-8648</t>
  </si>
  <si>
    <t>CLI-3660</t>
  </si>
  <si>
    <t>CLI-3718</t>
  </si>
  <si>
    <t>CLI-4480</t>
  </si>
  <si>
    <t>CLI-1311</t>
  </si>
  <si>
    <t>CLI-3337</t>
  </si>
  <si>
    <t>CLI-6911</t>
  </si>
  <si>
    <t>CLI-1791</t>
  </si>
  <si>
    <t>CLI-6241</t>
  </si>
  <si>
    <t>CLI-4475</t>
  </si>
  <si>
    <t>CLI-2976</t>
  </si>
  <si>
    <t>CLI-3529</t>
  </si>
  <si>
    <t>TXN-20260804-004</t>
  </si>
  <si>
    <t>CLI-8638</t>
  </si>
  <si>
    <t>TXN-20260804-007</t>
  </si>
  <si>
    <t>CLI-1222</t>
  </si>
  <si>
    <t>TXN-20260804-009</t>
  </si>
  <si>
    <t>CLI-4143</t>
  </si>
  <si>
    <t>TXN-20260804-011</t>
  </si>
  <si>
    <t>CLI-1525</t>
  </si>
  <si>
    <t>TXN-20260804-016</t>
  </si>
  <si>
    <t>CLI-7102</t>
  </si>
  <si>
    <t>TXN-20260804-022</t>
  </si>
  <si>
    <t>CLI-9378</t>
  </si>
  <si>
    <t>TXN-20260804-024</t>
  </si>
  <si>
    <t>CLI-9482</t>
  </si>
  <si>
    <t>TXN-20260805-003</t>
  </si>
  <si>
    <t>CLI-8484</t>
  </si>
  <si>
    <t>TXN-20260805-005</t>
  </si>
  <si>
    <t>CLI-8681</t>
  </si>
  <si>
    <t>TXN-20260805-007</t>
  </si>
  <si>
    <t>CLI-9132</t>
  </si>
  <si>
    <t>TXN-20260805-010</t>
  </si>
  <si>
    <t>CLI-5211</t>
  </si>
  <si>
    <t>TXN-20260805-013</t>
  </si>
  <si>
    <t>CLI-8402</t>
  </si>
  <si>
    <t>TXN-20260805-014</t>
  </si>
  <si>
    <t>CLI-2005</t>
  </si>
  <si>
    <t>TXN-20260805-019</t>
  </si>
  <si>
    <t>CLI-2361</t>
  </si>
  <si>
    <t>TXN-20260805-023</t>
  </si>
  <si>
    <t>CLI-5605</t>
  </si>
  <si>
    <t>TXN-20260805-025</t>
  </si>
  <si>
    <t>CLI-8152</t>
  </si>
  <si>
    <t>TXN-20260805-031</t>
  </si>
  <si>
    <t>CLI-1860</t>
  </si>
  <si>
    <t>TXN-20260806-001</t>
  </si>
  <si>
    <t>CLI-5355</t>
  </si>
  <si>
    <t>TXN-20260806-003</t>
  </si>
  <si>
    <t>CLI-9007</t>
  </si>
  <si>
    <t>TXN-20260806-005</t>
  </si>
  <si>
    <t>CLI-3895</t>
  </si>
  <si>
    <t>TXN-20260806-007</t>
  </si>
  <si>
    <t>CLI-3085</t>
  </si>
  <si>
    <t>TXN-20260806-011</t>
  </si>
  <si>
    <t>CLI-1812</t>
  </si>
  <si>
    <t>TXN-20260806-012</t>
  </si>
  <si>
    <t>CLI-1055</t>
  </si>
  <si>
    <t>TXN-20260806-014</t>
  </si>
  <si>
    <t>CLI-9775</t>
  </si>
  <si>
    <t>TXN-20260806-015</t>
  </si>
  <si>
    <t>CLI-3317</t>
  </si>
  <si>
    <t>TXN-20260806-021</t>
  </si>
  <si>
    <t>CLI-1732</t>
  </si>
  <si>
    <t>TXN-20260806-022</t>
  </si>
  <si>
    <t>CLI-3532</t>
  </si>
  <si>
    <t>TXN-20260806-023</t>
  </si>
  <si>
    <t>CLI-3654</t>
  </si>
  <si>
    <t>TXN-20260806-031</t>
  </si>
  <si>
    <t>CLI-4561</t>
  </si>
  <si>
    <t>TXN-20260806-033</t>
  </si>
  <si>
    <t>CLI-8486</t>
  </si>
  <si>
    <t>TXN-20260806-035</t>
  </si>
  <si>
    <t>CLI-9865</t>
  </si>
  <si>
    <t>TXN-20260807-003</t>
  </si>
  <si>
    <t>CLI-3043</t>
  </si>
  <si>
    <t>TXN-20260807-006</t>
  </si>
  <si>
    <t>CLI-9776</t>
  </si>
  <si>
    <t>TXN-20260807-007</t>
  </si>
  <si>
    <t>CLI-3598</t>
  </si>
  <si>
    <t>TXN-20260807-016</t>
  </si>
  <si>
    <t>CLI-5818</t>
  </si>
  <si>
    <t>TXN-20260807-020</t>
  </si>
  <si>
    <t>CLI-4121</t>
  </si>
  <si>
    <t>TXN-20260807-022</t>
  </si>
  <si>
    <t>CLI-7534</t>
  </si>
  <si>
    <t>TXN-20260807-028</t>
  </si>
  <si>
    <t>CLI-9577</t>
  </si>
  <si>
    <t>TXN-20260807-031</t>
  </si>
  <si>
    <t>CLI-2499</t>
  </si>
  <si>
    <t>SUC-002 Norte</t>
  </si>
  <si>
    <t>Venta Telefónica</t>
  </si>
  <si>
    <t>CLI-4483</t>
  </si>
  <si>
    <t>VEN-103 (Carlos Ruiz)</t>
  </si>
  <si>
    <t>CLI-4608</t>
  </si>
  <si>
    <t>VEN-101 (Juan Pérez)</t>
  </si>
  <si>
    <t>CLI-5533</t>
  </si>
  <si>
    <t>VEN-102 (María Gómez)</t>
  </si>
  <si>
    <t>CLI-2269</t>
  </si>
  <si>
    <t>CLI-1823</t>
  </si>
  <si>
    <t>CLI-1508</t>
  </si>
  <si>
    <t>CLI-2983</t>
  </si>
  <si>
    <t>CLI-2402</t>
  </si>
  <si>
    <t>CLI-4777</t>
  </si>
  <si>
    <t>VEN-104 (Ana López)</t>
  </si>
  <si>
    <t>CLI-1878</t>
  </si>
  <si>
    <t>CLI-5335</t>
  </si>
  <si>
    <t>CLI-7965</t>
  </si>
  <si>
    <t>CLI-5415</t>
  </si>
  <si>
    <t>CLI-9494</t>
  </si>
  <si>
    <t>CLI-1715</t>
  </si>
  <si>
    <t>CLI-2225</t>
  </si>
  <si>
    <t>CLI-4804</t>
  </si>
  <si>
    <t>CLI-8894</t>
  </si>
  <si>
    <t>CLI-8606</t>
  </si>
  <si>
    <t>CLI-2398</t>
  </si>
  <si>
    <t>CLI-6952</t>
  </si>
  <si>
    <t>CLI-3959</t>
  </si>
  <si>
    <t>CLI-5407</t>
  </si>
  <si>
    <t>CLI-1853</t>
  </si>
  <si>
    <t>CLI-5561</t>
  </si>
  <si>
    <t>CLI-9550</t>
  </si>
  <si>
    <t>CLI-3321</t>
  </si>
  <si>
    <t>CLI-4930</t>
  </si>
  <si>
    <t>CLI-2881</t>
  </si>
  <si>
    <t>CLI-6349</t>
  </si>
  <si>
    <t>CLI-8640</t>
  </si>
  <si>
    <t>CLI-2530</t>
  </si>
  <si>
    <t>CLI-8165</t>
  </si>
  <si>
    <t>CLI-3261</t>
  </si>
  <si>
    <t>CLI-2719</t>
  </si>
  <si>
    <t>CLI-2594</t>
  </si>
  <si>
    <t>CLI-2416</t>
  </si>
  <si>
    <t>CLI-3267</t>
  </si>
  <si>
    <t>CLI-4992</t>
  </si>
  <si>
    <t>TXN-20260804-014</t>
  </si>
  <si>
    <t>CLI-3791</t>
  </si>
  <si>
    <t>TXN-20260804-017</t>
  </si>
  <si>
    <t>CLI-6297</t>
  </si>
  <si>
    <t>TXN-20260804-018</t>
  </si>
  <si>
    <t>CLI-2350</t>
  </si>
  <si>
    <t>TXN-20260805-001</t>
  </si>
  <si>
    <t>CLI-7676</t>
  </si>
  <si>
    <t>TXN-20260805-002</t>
  </si>
  <si>
    <t>CLI-8699</t>
  </si>
  <si>
    <t>TXN-20260805-006</t>
  </si>
  <si>
    <t>CLI-1180</t>
  </si>
  <si>
    <t>TXN-20260805-008</t>
  </si>
  <si>
    <t>CLI-1327</t>
  </si>
  <si>
    <t>TXN-20260805-009</t>
  </si>
  <si>
    <t>CLI-9784</t>
  </si>
  <si>
    <t>TXN-20260805-015</t>
  </si>
  <si>
    <t>CLI-9690</t>
  </si>
  <si>
    <t>TXN-20260805-018</t>
  </si>
  <si>
    <t>CLI-2104</t>
  </si>
  <si>
    <t>TXN-20260805-030</t>
  </si>
  <si>
    <t>CLI-5686</t>
  </si>
  <si>
    <t>TXN-20260805-034</t>
  </si>
  <si>
    <t>CLI-9295</t>
  </si>
  <si>
    <t>TXN-20260805-039</t>
  </si>
  <si>
    <t>CLI-5115</t>
  </si>
  <si>
    <t>TXN-20260805-041</t>
  </si>
  <si>
    <t>CLI-2228</t>
  </si>
  <si>
    <t>TXN-20260806-013</t>
  </si>
  <si>
    <t>CLI-6784</t>
  </si>
  <si>
    <t>TXN-20260806-018</t>
  </si>
  <si>
    <t>CLI-4984</t>
  </si>
  <si>
    <t>TXN-20260806-019</t>
  </si>
  <si>
    <t>CLI-9871</t>
  </si>
  <si>
    <t>TXN-20260806-028</t>
  </si>
  <si>
    <t>CLI-8719</t>
  </si>
  <si>
    <t>TXN-20260806-030</t>
  </si>
  <si>
    <t>CLI-9297</t>
  </si>
  <si>
    <t>TXN-20260806-032</t>
  </si>
  <si>
    <t>CLI-7987</t>
  </si>
  <si>
    <t>TXN-20260806-034</t>
  </si>
  <si>
    <t>CLI-8578</t>
  </si>
  <si>
    <t>TXN-20260807-001</t>
  </si>
  <si>
    <t>CLI-1096</t>
  </si>
  <si>
    <t>TXN-20260807-002</t>
  </si>
  <si>
    <t>CLI-9829</t>
  </si>
  <si>
    <t>TXN-20260807-004</t>
  </si>
  <si>
    <t>CLI-8656</t>
  </si>
  <si>
    <t>TXN-20260807-008</t>
  </si>
  <si>
    <t>CLI-7178</t>
  </si>
  <si>
    <t>TXN-20260807-009</t>
  </si>
  <si>
    <t>CLI-3503</t>
  </si>
  <si>
    <t>TXN-20260807-013</t>
  </si>
  <si>
    <t>CLI-7861</t>
  </si>
  <si>
    <t>TXN-20260807-023</t>
  </si>
  <si>
    <t>CLI-1873</t>
  </si>
  <si>
    <t>Tienda Física</t>
  </si>
  <si>
    <t>CLI-7396</t>
  </si>
  <si>
    <t>CLI-6663</t>
  </si>
  <si>
    <t>CLI-3780</t>
  </si>
  <si>
    <t>CLI-7678</t>
  </si>
  <si>
    <t>CLI-9561</t>
  </si>
  <si>
    <t>CLI-6568</t>
  </si>
  <si>
    <t>CLI-6772</t>
  </si>
  <si>
    <t>CLI-6977</t>
  </si>
  <si>
    <t>CLI-5458</t>
  </si>
  <si>
    <t>CLI-8172</t>
  </si>
  <si>
    <t>CLI-8685</t>
  </si>
  <si>
    <t>CLI-9945</t>
  </si>
  <si>
    <t>CLI-5333</t>
  </si>
  <si>
    <t>CLI-7453</t>
  </si>
  <si>
    <t>CLI-1841</t>
  </si>
  <si>
    <t>CLI-8763</t>
  </si>
  <si>
    <t>CLI-2706</t>
  </si>
  <si>
    <t>CLI-2961</t>
  </si>
  <si>
    <t>CLI-7570</t>
  </si>
  <si>
    <t>CLI-7747</t>
  </si>
  <si>
    <t>CLI-6704</t>
  </si>
  <si>
    <t>CLI-7170</t>
  </si>
  <si>
    <t>CLI-7305</t>
  </si>
  <si>
    <t>CLI-1924</t>
  </si>
  <si>
    <t>CLI-3508</t>
  </si>
  <si>
    <t>CLI-1737</t>
  </si>
  <si>
    <t>CLI-1844</t>
  </si>
  <si>
    <t>CLI-1301</t>
  </si>
  <si>
    <t>CLI-8974</t>
  </si>
  <si>
    <t>CLI-1283</t>
  </si>
  <si>
    <t>CLI-4337</t>
  </si>
  <si>
    <t>TXN-20260804-008</t>
  </si>
  <si>
    <t>CLI-2604</t>
  </si>
  <si>
    <t>TXN-20260804-012</t>
  </si>
  <si>
    <t>CLI-6811</t>
  </si>
  <si>
    <t>TXN-20260804-023</t>
  </si>
  <si>
    <t>CLI-3729</t>
  </si>
  <si>
    <t>TXN-20260804-025</t>
  </si>
  <si>
    <t>CLI-6339</t>
  </si>
  <si>
    <t>TXN-20260805-016</t>
  </si>
  <si>
    <t>CLI-4382</t>
  </si>
  <si>
    <t>TXN-20260805-040</t>
  </si>
  <si>
    <t>CLI-5781</t>
  </si>
  <si>
    <t>TXN-20260806-004</t>
  </si>
  <si>
    <t>CLI-1073</t>
  </si>
  <si>
    <t>TXN-20260806-024</t>
  </si>
  <si>
    <t>TXN-20260807-005</t>
  </si>
  <si>
    <t>CLI-3625</t>
  </si>
  <si>
    <t>TXN-20260807-014</t>
  </si>
  <si>
    <t>CLI-7671</t>
  </si>
  <si>
    <t>TXN-20260807-025</t>
  </si>
  <si>
    <t>CLI-3865</t>
  </si>
  <si>
    <t>TXN-20260807-030</t>
  </si>
  <si>
    <t>CLI-4685</t>
  </si>
  <si>
    <t>SUC-001 Centro</t>
  </si>
  <si>
    <t>CLI-6313</t>
  </si>
  <si>
    <t>CLI-3504</t>
  </si>
  <si>
    <t>CLI-6050</t>
  </si>
  <si>
    <t>CLI-4644</t>
  </si>
  <si>
    <t>CLI-6409</t>
  </si>
  <si>
    <t>CLI-5728</t>
  </si>
  <si>
    <t>CLI-1228</t>
  </si>
  <si>
    <t>CLI-9920</t>
  </si>
  <si>
    <t>CLI-6869</t>
  </si>
  <si>
    <t>CLI-6931</t>
  </si>
  <si>
    <t>CLI-2076</t>
  </si>
  <si>
    <t>CLI-4630</t>
  </si>
  <si>
    <t>CLI-7333</t>
  </si>
  <si>
    <t>CLI-9224</t>
  </si>
  <si>
    <t>CLI-7338</t>
  </si>
  <si>
    <t>CLI-4878</t>
  </si>
  <si>
    <t>CLI-5067</t>
  </si>
  <si>
    <t>CLI-4340</t>
  </si>
  <si>
    <t>CLI-2432</t>
  </si>
  <si>
    <t>CLI-2864</t>
  </si>
  <si>
    <t>CLI-4145</t>
  </si>
  <si>
    <t>CLI-8905</t>
  </si>
  <si>
    <t>CLI-7609</t>
  </si>
  <si>
    <t>CLI-8383</t>
  </si>
  <si>
    <t>CLI-5249</t>
  </si>
  <si>
    <t>CLI-9004</t>
  </si>
  <si>
    <t>CLI-2308</t>
  </si>
  <si>
    <t>CLI-8350</t>
  </si>
  <si>
    <t>CLI-7633</t>
  </si>
  <si>
    <t>CLI-8285</t>
  </si>
  <si>
    <t>CLI-3041</t>
  </si>
  <si>
    <t>CLI-2418</t>
  </si>
  <si>
    <t>CLI-2486</t>
  </si>
  <si>
    <t>CLI-6796</t>
  </si>
  <si>
    <t>CLI-1678</t>
  </si>
  <si>
    <t>CLI-5769</t>
  </si>
  <si>
    <t>CLI-7079</t>
  </si>
  <si>
    <t>CLI-9385</t>
  </si>
  <si>
    <t>CLI-1310</t>
  </si>
  <si>
    <t>CLI-5050</t>
  </si>
  <si>
    <t>CLI-4295</t>
  </si>
  <si>
    <t>CLI-8308</t>
  </si>
  <si>
    <t>CLI-3229</t>
  </si>
  <si>
    <t>TXN-20260804-003</t>
  </si>
  <si>
    <t>CLI-3020</t>
  </si>
  <si>
    <t>TXN-20260804-006</t>
  </si>
  <si>
    <t>CLI-5513</t>
  </si>
  <si>
    <t>TXN-20260804-013</t>
  </si>
  <si>
    <t>CLI-9772</t>
  </si>
  <si>
    <t>TXN-20260804-015</t>
  </si>
  <si>
    <t>CLI-9827</t>
  </si>
  <si>
    <t>TXN-20260804-021</t>
  </si>
  <si>
    <t>CLI-3980</t>
  </si>
  <si>
    <t>TXN-20260805-004</t>
  </si>
  <si>
    <t>CLI-9223</t>
  </si>
  <si>
    <t>TXN-20260805-011</t>
  </si>
  <si>
    <t>CLI-3832</t>
  </si>
  <si>
    <t>TXN-20260805-012</t>
  </si>
  <si>
    <t>CLI-3280</t>
  </si>
  <si>
    <t>TXN-20260805-020</t>
  </si>
  <si>
    <t>CLI-2671</t>
  </si>
  <si>
    <t>TXN-20260805-021</t>
  </si>
  <si>
    <t>CLI-6717</t>
  </si>
  <si>
    <t>TXN-20260805-024</t>
  </si>
  <si>
    <t>CLI-8490</t>
  </si>
  <si>
    <t>TXN-20260805-026</t>
  </si>
  <si>
    <t>CLI-3315</t>
  </si>
  <si>
    <t>TXN-20260805-029</t>
  </si>
  <si>
    <t>CLI-3877</t>
  </si>
  <si>
    <t>TXN-20260805-032</t>
  </si>
  <si>
    <t>CLI-2975</t>
  </si>
  <si>
    <t>TXN-20260805-033</t>
  </si>
  <si>
    <t>CLI-6606</t>
  </si>
  <si>
    <t>TXN-20260805-036</t>
  </si>
  <si>
    <t>CLI-6919</t>
  </si>
  <si>
    <t>TXN-20260805-038</t>
  </si>
  <si>
    <t>CLI-3866</t>
  </si>
  <si>
    <t>TXN-20260806-006</t>
  </si>
  <si>
    <t>CLI-1768</t>
  </si>
  <si>
    <t>TXN-20260806-009</t>
  </si>
  <si>
    <t>CLI-3667</t>
  </si>
  <si>
    <t>TXN-20260806-010</t>
  </si>
  <si>
    <t>CLI-1235</t>
  </si>
  <si>
    <t>TXN-20260806-016</t>
  </si>
  <si>
    <t>CLI-8263</t>
  </si>
  <si>
    <t>TXN-20260806-017</t>
  </si>
  <si>
    <t>CLI-8447</t>
  </si>
  <si>
    <t>TXN-20260806-027</t>
  </si>
  <si>
    <t>CLI-4056</t>
  </si>
  <si>
    <t>TXN-20260806-029</t>
  </si>
  <si>
    <t>CLI-6880</t>
  </si>
  <si>
    <t>TXN-20260806-036</t>
  </si>
  <si>
    <t>CLI-2771</t>
  </si>
  <si>
    <t>TXN-20260807-011</t>
  </si>
  <si>
    <t>CLI-2411</t>
  </si>
  <si>
    <t>TXN-20260807-012</t>
  </si>
  <si>
    <t>CLI-4987</t>
  </si>
  <si>
    <t>TXN-20260807-021</t>
  </si>
  <si>
    <t>CLI-2041</t>
  </si>
  <si>
    <t>TXN-20260807-024</t>
  </si>
  <si>
    <t>CLI-6405</t>
  </si>
  <si>
    <t>TXN-20260807-026</t>
  </si>
  <si>
    <t>CLI-8094</t>
  </si>
  <si>
    <t>TXN-20260807-032</t>
  </si>
  <si>
    <t>CLI-5088</t>
  </si>
  <si>
    <t>CLI-1520</t>
  </si>
  <si>
    <t>CLI-6635</t>
  </si>
  <si>
    <t>CLI-2827</t>
  </si>
  <si>
    <t>CLI-6107</t>
  </si>
  <si>
    <t>CLI-5562</t>
  </si>
  <si>
    <t>CLI-5092</t>
  </si>
  <si>
    <t>CLI-2343</t>
  </si>
  <si>
    <t>CLI-2891</t>
  </si>
  <si>
    <t>CLI-6442</t>
  </si>
  <si>
    <t>CLI-9346</t>
  </si>
  <si>
    <t>CLI-5471</t>
  </si>
  <si>
    <t>CLI-9337</t>
  </si>
  <si>
    <t>CLI-9850</t>
  </si>
  <si>
    <t>CLI-1828</t>
  </si>
  <si>
    <t>CLI-5477</t>
  </si>
  <si>
    <t>CLI-2503</t>
  </si>
  <si>
    <t>CLI-9725</t>
  </si>
  <si>
    <t>CLI-8601</t>
  </si>
  <si>
    <t>CLI-6267</t>
  </si>
  <si>
    <t>CLI-3147</t>
  </si>
  <si>
    <t>CLI-8873</t>
  </si>
  <si>
    <t>CLI-5934</t>
  </si>
  <si>
    <t>CLI-2438</t>
  </si>
  <si>
    <t>CLI-3102</t>
  </si>
  <si>
    <t>CLI-5496</t>
  </si>
  <si>
    <t>CLI-7653</t>
  </si>
  <si>
    <t>CLI-7070</t>
  </si>
  <si>
    <t>CLI-6456</t>
  </si>
  <si>
    <t>CLI-7586</t>
  </si>
  <si>
    <t>CLI-5444</t>
  </si>
  <si>
    <t>CLI-7261</t>
  </si>
  <si>
    <t>CLI-7421</t>
  </si>
  <si>
    <t>CLI-5337</t>
  </si>
  <si>
    <t>CLI-9677</t>
  </si>
  <si>
    <t>CLI-3810</t>
  </si>
  <si>
    <t>CLI-2673</t>
  </si>
  <si>
    <t>CLI-4140</t>
  </si>
  <si>
    <t>CLI-9449</t>
  </si>
  <si>
    <t>CLI-8176</t>
  </si>
  <si>
    <t>CLI-5208</t>
  </si>
  <si>
    <t>CLI-5944</t>
  </si>
  <si>
    <t>CLI-5374</t>
  </si>
  <si>
    <t>CLI-2780</t>
  </si>
  <si>
    <t>CLI-2545</t>
  </si>
  <si>
    <t>CLI-7834</t>
  </si>
  <si>
    <t>CLI-1287</t>
  </si>
  <si>
    <t>CLI-5983</t>
  </si>
  <si>
    <t>CLI-9732</t>
  </si>
  <si>
    <t>CLI-5757</t>
  </si>
  <si>
    <t>TXN-20260804-001</t>
  </si>
  <si>
    <t>CLI-1265</t>
  </si>
  <si>
    <t>TXN-20260804-002</t>
  </si>
  <si>
    <t>CLI-3292</t>
  </si>
  <si>
    <t>TXN-20260804-005</t>
  </si>
  <si>
    <t>CLI-6042</t>
  </si>
  <si>
    <t>TXN-20260804-010</t>
  </si>
  <si>
    <t>CLI-6640</t>
  </si>
  <si>
    <t>TXN-20260804-019</t>
  </si>
  <si>
    <t>CLI-3649</t>
  </si>
  <si>
    <t>TXN-20260804-020</t>
  </si>
  <si>
    <t>CLI-6950</t>
  </si>
  <si>
    <t>TXN-20260804-026</t>
  </si>
  <si>
    <t>CLI-5227</t>
  </si>
  <si>
    <t>TXN-20260805-017</t>
  </si>
  <si>
    <t>CLI-2023</t>
  </si>
  <si>
    <t>TXN-20260805-022</t>
  </si>
  <si>
    <t>CLI-9086</t>
  </si>
  <si>
    <t>TXN-20260805-027</t>
  </si>
  <si>
    <t>CLI-5117</t>
  </si>
  <si>
    <t>TXN-20260805-028</t>
  </si>
  <si>
    <t>CLI-3115</t>
  </si>
  <si>
    <t>TXN-20260805-035</t>
  </si>
  <si>
    <t>CLI-8041</t>
  </si>
  <si>
    <t>TXN-20260805-037</t>
  </si>
  <si>
    <t>CLI-6127</t>
  </si>
  <si>
    <t>TXN-20260806-002</t>
  </si>
  <si>
    <t>CLI-6664</t>
  </si>
  <si>
    <t>TXN-20260806-008</t>
  </si>
  <si>
    <t>CLI-3076</t>
  </si>
  <si>
    <t>TXN-20260806-020</t>
  </si>
  <si>
    <t>CLI-7162</t>
  </si>
  <si>
    <t>TXN-20260806-025</t>
  </si>
  <si>
    <t>CLI-9438</t>
  </si>
  <si>
    <t>TXN-20260806-026</t>
  </si>
  <si>
    <t>CLI-7658</t>
  </si>
  <si>
    <t>TXN-20260807-010</t>
  </si>
  <si>
    <t>CLI-7027</t>
  </si>
  <si>
    <t>TXN-20260807-015</t>
  </si>
  <si>
    <t>CLI-8739</t>
  </si>
  <si>
    <t>TXN-20260807-017</t>
  </si>
  <si>
    <t>CLI-9543</t>
  </si>
  <si>
    <t>TXN-20260807-018</t>
  </si>
  <si>
    <t>CLI-2922</t>
  </si>
  <si>
    <t>TXN-20260807-019</t>
  </si>
  <si>
    <t>CLI-5574</t>
  </si>
  <si>
    <t>TXN-20260807-027</t>
  </si>
  <si>
    <t>CLI-3473</t>
  </si>
  <si>
    <t>TXN-20260807-029</t>
  </si>
  <si>
    <t>CLI-8192</t>
  </si>
  <si>
    <t>Productos</t>
  </si>
  <si>
    <t>Total vendido por producto</t>
  </si>
  <si>
    <t>Total vendio cantidad</t>
  </si>
  <si>
    <t>Fecha</t>
  </si>
  <si>
    <t>Total facturados en el dia</t>
  </si>
  <si>
    <t>Canal de venta</t>
  </si>
  <si>
    <t>Total vendido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</si>
</sst>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22" fontId="0" fillId="0" borderId="0" xfId="0" applyNumberFormat="1"/>
    <xf numFmtId="0" fontId="0" fillId="0" borderId="3" xfId="0" applyBorder="1"/>
    <xf numFmtId="164" fontId="0" fillId="0" borderId="4" xfId="1" applyNumberFormat="1" applyFont="1" applyBorder="1"/>
    <xf numFmtId="0" fontId="0" fillId="0" borderId="5" xfId="0" applyBorder="1"/>
    <xf numFmtId="164" fontId="0" fillId="0" borderId="6" xfId="1" applyNumberFormat="1" applyFont="1" applyBorder="1"/>
    <xf numFmtId="0" fontId="0" fillId="0" borderId="4" xfId="0" applyBorder="1"/>
    <xf numFmtId="0" fontId="0" fillId="0" borderId="6" xfId="0" applyBorder="1"/>
    <xf numFmtId="164" fontId="0" fillId="0" borderId="0" xfId="0" applyNumberFormat="1"/>
    <xf numFmtId="14" fontId="0" fillId="0" borderId="3" xfId="0" applyNumberFormat="1" applyBorder="1"/>
    <xf numFmtId="164" fontId="0" fillId="0" borderId="3" xfId="1" applyNumberFormat="1" applyFont="1" applyBorder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/>
    <xf numFmtId="14" fontId="0" fillId="0" borderId="0" xfId="0" applyNumberFormat="1"/>
    <xf numFmtId="164" fontId="0" fillId="0" borderId="0" xfId="1" applyNumberFormat="1" applyFont="1" applyBorder="1"/>
    <xf numFmtId="0" fontId="0" fillId="0" borderId="0" xfId="0" applyNumberFormat="1"/>
  </cellXfs>
  <cellStyles count="2">
    <cellStyle name="Moneda" xfId="1" builtinId="4"/>
    <cellStyle name="Normal" xfId="0" builtinId="0"/>
  </cellStyles>
  <dxfs count="12">
    <dxf>
      <numFmt numFmtId="27" formatCode="d/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connections" Target="connections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4" Type="http://schemas.openxmlformats.org/officeDocument/2006/relationships/theme" Target="theme/theme1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backgroundRefresh="0" connectionId="12" xr16:uid="{D9F60A27-359C-41BF-ACF3-FB8E3CD52C11}" autoFormatId="16" applyNumberFormats="0" applyBorderFormats="0" applyFontFormats="0" applyPatternFormats="0" applyAlignmentFormats="0" applyWidthHeightFormats="0">
  <queryTableRefresh nextId="19" unboundColumnsRight="1">
    <queryTableFields count="11">
      <queryTableField id="1" name="ID Linea" tableColumnId="1"/>
      <queryTableField id="2" name="ID Transaccion" tableColumnId="2"/>
      <queryTableField id="3" name="Nro Linea" tableColumnId="3"/>
      <queryTableField id="4" name="SKU" tableColumnId="4"/>
      <queryTableField id="5" name="Producto" tableColumnId="5"/>
      <queryTableField id="6" name="Categoria" tableColumnId="6"/>
      <queryTableField id="7" name="Cantidad" tableColumnId="7"/>
      <queryTableField id="8" name="Precio Unitario" tableColumnId="8"/>
      <queryTableField id="9" name="Costo Unitario" tableColumnId="9"/>
      <queryTableField id="10" name="Descuento Linea" tableColumnId="10"/>
      <queryTableField id="17" dataBound="0" tableColumnId="11"/>
    </queryTableFields>
  </queryTableRefresh>
  <extLst>
    <ext xmlns:x15="http://schemas.microsoft.com/office/spreadsheetml/2010/11/main" uri="{883FBD77-0823-4a55-B5E3-86C4891E6966}">
      <x15:queryTable sourceDataName="Consulta - Fact_Ventas_Detalle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backgroundRefresh="0" connectionId="13" xr16:uid="{384B7747-3040-4693-ABEA-A1FE71E217F7}" autoFormatId="16" applyNumberFormats="0" applyBorderFormats="0" applyFontFormats="0" applyPatternFormats="0" applyAlignmentFormats="0" applyWidthHeightFormats="0">
  <queryTableRefresh nextId="8">
    <queryTableFields count="7">
      <queryTableField id="1" name="ID Transaccion" tableColumnId="1"/>
      <queryTableField id="2" name="Fecha Hora" tableColumnId="2"/>
      <queryTableField id="3" name="Sucursal" tableColumnId="3"/>
      <queryTableField id="4" name="Canal Venta" tableColumnId="4"/>
      <queryTableField id="5" name="ID Cliente" tableColumnId="5"/>
      <queryTableField id="6" name="Metodo Pago" tableColumnId="6"/>
      <queryTableField id="7" name="Vendedor" tableColumnId="7"/>
    </queryTableFields>
  </queryTableRefresh>
  <extLst>
    <ext xmlns:x15="http://schemas.microsoft.com/office/spreadsheetml/2010/11/main" uri="{883FBD77-0823-4a55-B5E3-86C4891E6966}">
      <x15:queryTable sourceDataName="Consulta - Fact_Ventas_Cabecera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AFA3420-A7FF-4BC6-A5E8-4F1027FFCBCA}" name="Fact_Ventas_Detalle" displayName="Fact_Ventas_Detalle" ref="A1:K965" tableType="queryTable" totalsRowShown="0">
  <autoFilter ref="A1:K965" xr:uid="{BAFA3420-A7FF-4BC6-A5E8-4F1027FFCBCA}"/>
  <sortState xmlns:xlrd2="http://schemas.microsoft.com/office/spreadsheetml/2017/richdata2" ref="A2:K965">
    <sortCondition ref="A1:A965"/>
  </sortState>
  <tableColumns count="11">
    <tableColumn id="1" xr3:uid="{F321131C-4E89-4C80-BA2E-9A4EF899A7CF}" uniqueName="1" name="ID Linea" queryTableFieldId="1"/>
    <tableColumn id="2" xr3:uid="{A6B778AB-F417-4B9C-A8F4-EEF5F3F9693F}" uniqueName="2" name="ID Transaccion" queryTableFieldId="2" dataDxfId="5"/>
    <tableColumn id="3" xr3:uid="{9FCFDAAD-7125-482F-AE20-673A45233CD7}" uniqueName="3" name="Nro Linea" queryTableFieldId="3"/>
    <tableColumn id="4" xr3:uid="{E7A637E0-431B-4A76-89B1-B17885CA0DFD}" uniqueName="4" name="SKU" queryTableFieldId="4" dataDxfId="4"/>
    <tableColumn id="5" xr3:uid="{62209931-445F-40AD-93C2-8741C4CDDE12}" uniqueName="5" name="Producto" queryTableFieldId="5" dataDxfId="3"/>
    <tableColumn id="6" xr3:uid="{D4DBAEAB-C240-48C9-9D1B-3DAF7DA91261}" uniqueName="6" name="Categoria" queryTableFieldId="6" dataDxfId="2"/>
    <tableColumn id="7" xr3:uid="{8D463B46-06C7-4F43-BDDB-9851CF01A8E5}" uniqueName="7" name="Cantidad" queryTableFieldId="7"/>
    <tableColumn id="8" xr3:uid="{6C970F35-F8FC-475D-A4B6-864C535F9F06}" uniqueName="8" name="Precio Unitario" queryTableFieldId="8"/>
    <tableColumn id="9" xr3:uid="{493B28A6-6543-47A7-99A5-B13F6FD6C60A}" uniqueName="9" name="Costo Unitario" queryTableFieldId="9"/>
    <tableColumn id="10" xr3:uid="{40663766-F4CE-4210-B2F3-61D1D0EC8202}" uniqueName="10" name="Descuento Linea" queryTableFieldId="10"/>
    <tableColumn id="11" xr3:uid="{E59BC8AA-CF14-4522-B8AE-2013AB459906}" uniqueName="11" name="Total" queryTableFieldId="17" dataDxfId="1">
      <calculatedColumnFormula>(Fact_Ventas_Detalle[[#This Row],[Cantidad]]*Fact_Ventas_Detalle[[#This Row],[Precio Unitario]])-Fact_Ventas_Detalle[[#This Row],[Descuento Linea]]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69EB48-8F59-47FA-901B-96E655C1985E}" name="Fact_Ventas_Cabecera" displayName="Fact_Ventas_Cabecera" ref="A1:G398" tableType="queryTable" totalsRowShown="0">
  <autoFilter ref="A1:G398" xr:uid="{4E69EB48-8F59-47FA-901B-96E655C1985E}"/>
  <tableColumns count="7">
    <tableColumn id="1" xr3:uid="{B6E1F2E2-9919-49EC-8B10-A5D628B1C54A}" uniqueName="1" name="ID Transaccion" queryTableFieldId="1" dataDxfId="11"/>
    <tableColumn id="2" xr3:uid="{2D57E575-E6B8-482E-8C31-4A7F30A32901}" uniqueName="2" name="Fecha Hora" queryTableFieldId="2" dataDxfId="0"/>
    <tableColumn id="3" xr3:uid="{43F0877B-2CB9-4A69-881F-2E032C82C23E}" uniqueName="3" name="Sucursal" queryTableFieldId="3" dataDxfId="10"/>
    <tableColumn id="4" xr3:uid="{6EA6CD3B-171B-41AF-B3BD-93537BB0428E}" uniqueName="4" name="Canal Venta" queryTableFieldId="4" dataDxfId="9"/>
    <tableColumn id="5" xr3:uid="{133C2167-90A5-4D67-A20A-AA188CDAB86B}" uniqueName="5" name="ID Cliente" queryTableFieldId="5" dataDxfId="8"/>
    <tableColumn id="6" xr3:uid="{8C9B0E03-03DE-4CC2-8E5C-FD77F73ADBA9}" uniqueName="6" name="Metodo Pago" queryTableFieldId="6" dataDxfId="7"/>
    <tableColumn id="7" xr3:uid="{768BBEB1-9788-4084-BFE3-C05F38F3C668}" uniqueName="7" name="Vendedor" queryTableFieldId="7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DB8F9-07D2-4C46-9021-3EF3C5067392}">
  <dimension ref="A1:K965"/>
  <sheetViews>
    <sheetView topLeftCell="A611" workbookViewId="0">
      <selection activeCell="B640" sqref="B640"/>
    </sheetView>
  </sheetViews>
  <sheetFormatPr baseColWidth="10" defaultColWidth="11.42578125" defaultRowHeight="15" x14ac:dyDescent="0.25"/>
  <cols>
    <col min="1" max="1" width="10.28515625" bestFit="1" customWidth="1"/>
    <col min="2" max="2" width="17.140625" bestFit="1" customWidth="1"/>
    <col min="3" max="3" width="11.7109375" bestFit="1" customWidth="1"/>
    <col min="4" max="4" width="9.7109375" bestFit="1" customWidth="1"/>
    <col min="5" max="5" width="22.42578125" bestFit="1" customWidth="1"/>
    <col min="6" max="6" width="11.7109375" bestFit="1" customWidth="1"/>
    <col min="7" max="7" width="11.140625" bestFit="1" customWidth="1"/>
    <col min="8" max="8" width="16.5703125" bestFit="1" customWidth="1"/>
    <col min="9" max="9" width="16" bestFit="1" customWidth="1"/>
    <col min="10" max="10" width="17.85546875" bestFit="1" customWidth="1"/>
    <col min="11" max="11" width="8" bestFit="1" customWidth="1"/>
    <col min="12" max="12" width="16.140625" bestFit="1" customWidth="1"/>
    <col min="13" max="13" width="12" bestFit="1" customWidth="1"/>
    <col min="14" max="14" width="15.140625" bestFit="1" customWidth="1"/>
    <col min="15" max="15" width="22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s="17" t="s">
        <v>11</v>
      </c>
      <c r="C2">
        <v>1</v>
      </c>
      <c r="D2" s="17" t="s">
        <v>12</v>
      </c>
      <c r="E2" s="17" t="s">
        <v>13</v>
      </c>
      <c r="F2" s="17" t="s">
        <v>14</v>
      </c>
      <c r="G2">
        <v>3</v>
      </c>
      <c r="H2">
        <v>280000</v>
      </c>
      <c r="I2">
        <v>190000</v>
      </c>
      <c r="J2">
        <v>0</v>
      </c>
      <c r="K2" s="17">
        <f>(Fact_Ventas_Detalle[[#This Row],[Cantidad]]*Fact_Ventas_Detalle[[#This Row],[Precio Unitario]])-Fact_Ventas_Detalle[[#This Row],[Descuento Linea]]</f>
        <v>840000</v>
      </c>
    </row>
    <row r="3" spans="1:11" x14ac:dyDescent="0.25">
      <c r="A3">
        <v>1</v>
      </c>
      <c r="B3" s="17" t="s">
        <v>15</v>
      </c>
      <c r="C3">
        <v>1</v>
      </c>
      <c r="D3" s="17" t="s">
        <v>12</v>
      </c>
      <c r="E3" s="17" t="s">
        <v>13</v>
      </c>
      <c r="F3" s="17" t="s">
        <v>14</v>
      </c>
      <c r="G3">
        <v>3</v>
      </c>
      <c r="H3">
        <v>280000</v>
      </c>
      <c r="I3">
        <v>190000</v>
      </c>
      <c r="J3">
        <v>0</v>
      </c>
      <c r="K3" s="17">
        <f>(Fact_Ventas_Detalle[[#This Row],[Cantidad]]*Fact_Ventas_Detalle[[#This Row],[Precio Unitario]])-Fact_Ventas_Detalle[[#This Row],[Descuento Linea]]</f>
        <v>840000</v>
      </c>
    </row>
    <row r="4" spans="1:11" x14ac:dyDescent="0.25">
      <c r="A4">
        <v>1</v>
      </c>
      <c r="B4" s="17" t="s">
        <v>16</v>
      </c>
      <c r="C4">
        <v>1</v>
      </c>
      <c r="D4" s="17" t="s">
        <v>17</v>
      </c>
      <c r="E4" s="17" t="s">
        <v>18</v>
      </c>
      <c r="F4" s="17" t="s">
        <v>19</v>
      </c>
      <c r="G4">
        <v>3</v>
      </c>
      <c r="H4">
        <v>65000</v>
      </c>
      <c r="I4">
        <v>35000</v>
      </c>
      <c r="J4">
        <v>0</v>
      </c>
      <c r="K4" s="17">
        <f>(Fact_Ventas_Detalle[[#This Row],[Cantidad]]*Fact_Ventas_Detalle[[#This Row],[Precio Unitario]])-Fact_Ventas_Detalle[[#This Row],[Descuento Linea]]</f>
        <v>195000</v>
      </c>
    </row>
    <row r="5" spans="1:11" x14ac:dyDescent="0.25">
      <c r="A5">
        <v>1</v>
      </c>
      <c r="B5" s="17" t="s">
        <v>791</v>
      </c>
      <c r="C5">
        <v>1</v>
      </c>
      <c r="D5" s="17" t="s">
        <v>39</v>
      </c>
      <c r="E5" s="17" t="s">
        <v>40</v>
      </c>
      <c r="F5" s="17" t="s">
        <v>14</v>
      </c>
      <c r="G5">
        <v>3</v>
      </c>
      <c r="H5">
        <v>75000</v>
      </c>
      <c r="I5">
        <v>42000</v>
      </c>
      <c r="J5">
        <v>0</v>
      </c>
      <c r="K5" s="17">
        <f>(Fact_Ventas_Detalle[[#This Row],[Cantidad]]*Fact_Ventas_Detalle[[#This Row],[Precio Unitario]])-Fact_Ventas_Detalle[[#This Row],[Descuento Linea]]</f>
        <v>225000</v>
      </c>
    </row>
    <row r="6" spans="1:11" x14ac:dyDescent="0.25">
      <c r="A6">
        <v>1</v>
      </c>
      <c r="B6" s="17" t="s">
        <v>436</v>
      </c>
      <c r="C6">
        <v>1</v>
      </c>
      <c r="D6" s="17" t="s">
        <v>37</v>
      </c>
      <c r="E6" s="17" t="s">
        <v>38</v>
      </c>
      <c r="F6" s="17" t="s">
        <v>33</v>
      </c>
      <c r="G6">
        <v>3</v>
      </c>
      <c r="H6">
        <v>45000</v>
      </c>
      <c r="I6">
        <v>22000</v>
      </c>
      <c r="J6">
        <v>0</v>
      </c>
      <c r="K6" s="17">
        <f>(Fact_Ventas_Detalle[[#This Row],[Cantidad]]*Fact_Ventas_Detalle[[#This Row],[Precio Unitario]])-Fact_Ventas_Detalle[[#This Row],[Descuento Linea]]</f>
        <v>135000</v>
      </c>
    </row>
    <row r="7" spans="1:11" x14ac:dyDescent="0.25">
      <c r="A7">
        <v>1</v>
      </c>
      <c r="B7" s="17" t="s">
        <v>20</v>
      </c>
      <c r="C7">
        <v>1</v>
      </c>
      <c r="D7" s="17" t="s">
        <v>12</v>
      </c>
      <c r="E7" s="17" t="s">
        <v>13</v>
      </c>
      <c r="F7" s="17" t="s">
        <v>14</v>
      </c>
      <c r="G7">
        <v>1</v>
      </c>
      <c r="H7">
        <v>280000</v>
      </c>
      <c r="I7">
        <v>190000</v>
      </c>
      <c r="J7">
        <v>0</v>
      </c>
      <c r="K7" s="17">
        <f>(Fact_Ventas_Detalle[[#This Row],[Cantidad]]*Fact_Ventas_Detalle[[#This Row],[Precio Unitario]])-Fact_Ventas_Detalle[[#This Row],[Descuento Linea]]</f>
        <v>280000</v>
      </c>
    </row>
    <row r="8" spans="1:11" x14ac:dyDescent="0.25">
      <c r="A8">
        <v>1</v>
      </c>
      <c r="B8" s="17" t="s">
        <v>567</v>
      </c>
      <c r="C8">
        <v>1</v>
      </c>
      <c r="D8" s="17" t="s">
        <v>39</v>
      </c>
      <c r="E8" s="17" t="s">
        <v>40</v>
      </c>
      <c r="F8" s="17" t="s">
        <v>14</v>
      </c>
      <c r="G8">
        <v>1</v>
      </c>
      <c r="H8">
        <v>75000</v>
      </c>
      <c r="I8">
        <v>42000</v>
      </c>
      <c r="J8">
        <v>0</v>
      </c>
      <c r="K8" s="17">
        <f>(Fact_Ventas_Detalle[[#This Row],[Cantidad]]*Fact_Ventas_Detalle[[#This Row],[Precio Unitario]])-Fact_Ventas_Detalle[[#This Row],[Descuento Linea]]</f>
        <v>75000</v>
      </c>
    </row>
    <row r="9" spans="1:11" x14ac:dyDescent="0.25">
      <c r="A9">
        <v>1</v>
      </c>
      <c r="B9" s="17" t="s">
        <v>21</v>
      </c>
      <c r="C9">
        <v>1</v>
      </c>
      <c r="D9" s="17" t="s">
        <v>12</v>
      </c>
      <c r="E9" s="17" t="s">
        <v>13</v>
      </c>
      <c r="F9" s="17" t="s">
        <v>14</v>
      </c>
      <c r="G9">
        <v>3</v>
      </c>
      <c r="H9">
        <v>280000</v>
      </c>
      <c r="I9">
        <v>190000</v>
      </c>
      <c r="J9">
        <v>84000</v>
      </c>
      <c r="K9" s="17">
        <f>(Fact_Ventas_Detalle[[#This Row],[Cantidad]]*Fact_Ventas_Detalle[[#This Row],[Precio Unitario]])-Fact_Ventas_Detalle[[#This Row],[Descuento Linea]]</f>
        <v>756000</v>
      </c>
    </row>
    <row r="10" spans="1:11" x14ac:dyDescent="0.25">
      <c r="A10">
        <v>1</v>
      </c>
      <c r="B10" s="17" t="s">
        <v>22</v>
      </c>
      <c r="C10">
        <v>1</v>
      </c>
      <c r="D10" s="17" t="s">
        <v>12</v>
      </c>
      <c r="E10" s="17" t="s">
        <v>13</v>
      </c>
      <c r="F10" s="17" t="s">
        <v>14</v>
      </c>
      <c r="G10">
        <v>3</v>
      </c>
      <c r="H10">
        <v>280000</v>
      </c>
      <c r="I10">
        <v>190000</v>
      </c>
      <c r="J10">
        <v>84000</v>
      </c>
      <c r="K10" s="17">
        <f>(Fact_Ventas_Detalle[[#This Row],[Cantidad]]*Fact_Ventas_Detalle[[#This Row],[Precio Unitario]])-Fact_Ventas_Detalle[[#This Row],[Descuento Linea]]</f>
        <v>756000</v>
      </c>
    </row>
    <row r="11" spans="1:11" x14ac:dyDescent="0.25">
      <c r="A11">
        <v>1</v>
      </c>
      <c r="B11" s="17" t="s">
        <v>531</v>
      </c>
      <c r="C11">
        <v>1</v>
      </c>
      <c r="D11" s="17" t="s">
        <v>27</v>
      </c>
      <c r="E11" s="17" t="s">
        <v>28</v>
      </c>
      <c r="F11" s="17" t="s">
        <v>29</v>
      </c>
      <c r="G11">
        <v>3</v>
      </c>
      <c r="H11">
        <v>240000</v>
      </c>
      <c r="I11">
        <v>150000</v>
      </c>
      <c r="J11">
        <v>72000</v>
      </c>
      <c r="K11" s="17">
        <f>(Fact_Ventas_Detalle[[#This Row],[Cantidad]]*Fact_Ventas_Detalle[[#This Row],[Precio Unitario]])-Fact_Ventas_Detalle[[#This Row],[Descuento Linea]]</f>
        <v>648000</v>
      </c>
    </row>
    <row r="12" spans="1:11" x14ac:dyDescent="0.25">
      <c r="A12">
        <v>1</v>
      </c>
      <c r="B12" s="17" t="s">
        <v>23</v>
      </c>
      <c r="C12">
        <v>1</v>
      </c>
      <c r="D12" s="17" t="s">
        <v>24</v>
      </c>
      <c r="E12" s="17" t="s">
        <v>25</v>
      </c>
      <c r="F12" s="17" t="s">
        <v>14</v>
      </c>
      <c r="G12">
        <v>1</v>
      </c>
      <c r="H12">
        <v>850000</v>
      </c>
      <c r="I12">
        <v>620000</v>
      </c>
      <c r="J12">
        <v>42500</v>
      </c>
      <c r="K12" s="17">
        <f>(Fact_Ventas_Detalle[[#This Row],[Cantidad]]*Fact_Ventas_Detalle[[#This Row],[Precio Unitario]])-Fact_Ventas_Detalle[[#This Row],[Descuento Linea]]</f>
        <v>807500</v>
      </c>
    </row>
    <row r="13" spans="1:11" x14ac:dyDescent="0.25">
      <c r="A13">
        <v>1</v>
      </c>
      <c r="B13" s="17" t="s">
        <v>26</v>
      </c>
      <c r="C13">
        <v>1</v>
      </c>
      <c r="D13" s="17" t="s">
        <v>27</v>
      </c>
      <c r="E13" s="17" t="s">
        <v>28</v>
      </c>
      <c r="F13" s="17" t="s">
        <v>29</v>
      </c>
      <c r="G13">
        <v>1</v>
      </c>
      <c r="H13">
        <v>240000</v>
      </c>
      <c r="I13">
        <v>150000</v>
      </c>
      <c r="J13">
        <v>24000</v>
      </c>
      <c r="K13" s="17">
        <f>(Fact_Ventas_Detalle[[#This Row],[Cantidad]]*Fact_Ventas_Detalle[[#This Row],[Precio Unitario]])-Fact_Ventas_Detalle[[#This Row],[Descuento Linea]]</f>
        <v>216000</v>
      </c>
    </row>
    <row r="14" spans="1:11" x14ac:dyDescent="0.25">
      <c r="A14">
        <v>2</v>
      </c>
      <c r="B14" s="17" t="s">
        <v>793</v>
      </c>
      <c r="C14">
        <v>1</v>
      </c>
      <c r="D14" s="17" t="s">
        <v>27</v>
      </c>
      <c r="E14" s="17" t="s">
        <v>28</v>
      </c>
      <c r="F14" s="17" t="s">
        <v>29</v>
      </c>
      <c r="G14">
        <v>2</v>
      </c>
      <c r="H14">
        <v>240000</v>
      </c>
      <c r="I14">
        <v>150000</v>
      </c>
      <c r="J14">
        <v>0</v>
      </c>
      <c r="K14" s="17">
        <f>(Fact_Ventas_Detalle[[#This Row],[Cantidad]]*Fact_Ventas_Detalle[[#This Row],[Precio Unitario]])-Fact_Ventas_Detalle[[#This Row],[Descuento Linea]]</f>
        <v>480000</v>
      </c>
    </row>
    <row r="15" spans="1:11" x14ac:dyDescent="0.25">
      <c r="A15">
        <v>2</v>
      </c>
      <c r="B15" s="17" t="s">
        <v>23</v>
      </c>
      <c r="C15">
        <v>2</v>
      </c>
      <c r="D15" s="17" t="s">
        <v>12</v>
      </c>
      <c r="E15" s="17" t="s">
        <v>13</v>
      </c>
      <c r="F15" s="17" t="s">
        <v>14</v>
      </c>
      <c r="G15">
        <v>2</v>
      </c>
      <c r="H15">
        <v>280000</v>
      </c>
      <c r="I15">
        <v>190000</v>
      </c>
      <c r="J15">
        <v>0</v>
      </c>
      <c r="K15" s="17">
        <f>(Fact_Ventas_Detalle[[#This Row],[Cantidad]]*Fact_Ventas_Detalle[[#This Row],[Precio Unitario]])-Fact_Ventas_Detalle[[#This Row],[Descuento Linea]]</f>
        <v>560000</v>
      </c>
    </row>
    <row r="16" spans="1:11" x14ac:dyDescent="0.25">
      <c r="A16">
        <v>2</v>
      </c>
      <c r="B16" s="17" t="s">
        <v>15</v>
      </c>
      <c r="C16">
        <v>2</v>
      </c>
      <c r="D16" s="17" t="s">
        <v>24</v>
      </c>
      <c r="E16" s="17" t="s">
        <v>25</v>
      </c>
      <c r="F16" s="17" t="s">
        <v>14</v>
      </c>
      <c r="G16">
        <v>3</v>
      </c>
      <c r="H16">
        <v>850000</v>
      </c>
      <c r="I16">
        <v>620000</v>
      </c>
      <c r="J16">
        <v>0</v>
      </c>
      <c r="K16" s="17">
        <f>(Fact_Ventas_Detalle[[#This Row],[Cantidad]]*Fact_Ventas_Detalle[[#This Row],[Precio Unitario]])-Fact_Ventas_Detalle[[#This Row],[Descuento Linea]]</f>
        <v>2550000</v>
      </c>
    </row>
    <row r="17" spans="1:11" x14ac:dyDescent="0.25">
      <c r="A17">
        <v>2</v>
      </c>
      <c r="B17" s="17" t="s">
        <v>16</v>
      </c>
      <c r="C17">
        <v>2</v>
      </c>
      <c r="D17" s="17" t="s">
        <v>24</v>
      </c>
      <c r="E17" s="17" t="s">
        <v>25</v>
      </c>
      <c r="F17" s="17" t="s">
        <v>14</v>
      </c>
      <c r="G17">
        <v>2</v>
      </c>
      <c r="H17">
        <v>850000</v>
      </c>
      <c r="I17">
        <v>620000</v>
      </c>
      <c r="J17">
        <v>0</v>
      </c>
      <c r="K17" s="17">
        <f>(Fact_Ventas_Detalle[[#This Row],[Cantidad]]*Fact_Ventas_Detalle[[#This Row],[Precio Unitario]])-Fact_Ventas_Detalle[[#This Row],[Descuento Linea]]</f>
        <v>1700000</v>
      </c>
    </row>
    <row r="18" spans="1:11" x14ac:dyDescent="0.25">
      <c r="A18">
        <v>2</v>
      </c>
      <c r="B18" s="17" t="s">
        <v>20</v>
      </c>
      <c r="C18">
        <v>2</v>
      </c>
      <c r="D18" s="17" t="s">
        <v>24</v>
      </c>
      <c r="E18" s="17" t="s">
        <v>25</v>
      </c>
      <c r="F18" s="17" t="s">
        <v>14</v>
      </c>
      <c r="G18">
        <v>2</v>
      </c>
      <c r="H18">
        <v>850000</v>
      </c>
      <c r="I18">
        <v>620000</v>
      </c>
      <c r="J18">
        <v>0</v>
      </c>
      <c r="K18" s="17">
        <f>(Fact_Ventas_Detalle[[#This Row],[Cantidad]]*Fact_Ventas_Detalle[[#This Row],[Precio Unitario]])-Fact_Ventas_Detalle[[#This Row],[Descuento Linea]]</f>
        <v>1700000</v>
      </c>
    </row>
    <row r="19" spans="1:11" x14ac:dyDescent="0.25">
      <c r="A19">
        <v>2</v>
      </c>
      <c r="B19" s="17" t="s">
        <v>531</v>
      </c>
      <c r="C19">
        <v>2</v>
      </c>
      <c r="D19" s="17" t="s">
        <v>42</v>
      </c>
      <c r="E19" s="17" t="s">
        <v>43</v>
      </c>
      <c r="F19" s="17" t="s">
        <v>29</v>
      </c>
      <c r="G19">
        <v>3</v>
      </c>
      <c r="H19">
        <v>185000</v>
      </c>
      <c r="I19">
        <v>115000</v>
      </c>
      <c r="J19">
        <v>0</v>
      </c>
      <c r="K19" s="17">
        <f>(Fact_Ventas_Detalle[[#This Row],[Cantidad]]*Fact_Ventas_Detalle[[#This Row],[Precio Unitario]])-Fact_Ventas_Detalle[[#This Row],[Descuento Linea]]</f>
        <v>555000</v>
      </c>
    </row>
    <row r="20" spans="1:11" x14ac:dyDescent="0.25">
      <c r="A20">
        <v>2</v>
      </c>
      <c r="B20" s="17" t="s">
        <v>11</v>
      </c>
      <c r="C20">
        <v>2</v>
      </c>
      <c r="D20" s="17" t="s">
        <v>12</v>
      </c>
      <c r="E20" s="17" t="s">
        <v>13</v>
      </c>
      <c r="F20" s="17" t="s">
        <v>14</v>
      </c>
      <c r="G20">
        <v>3</v>
      </c>
      <c r="H20">
        <v>280000</v>
      </c>
      <c r="I20">
        <v>190000</v>
      </c>
      <c r="J20">
        <v>84000</v>
      </c>
      <c r="K20" s="17">
        <f>(Fact_Ventas_Detalle[[#This Row],[Cantidad]]*Fact_Ventas_Detalle[[#This Row],[Precio Unitario]])-Fact_Ventas_Detalle[[#This Row],[Descuento Linea]]</f>
        <v>756000</v>
      </c>
    </row>
    <row r="21" spans="1:11" x14ac:dyDescent="0.25">
      <c r="A21">
        <v>2</v>
      </c>
      <c r="B21" s="17" t="s">
        <v>436</v>
      </c>
      <c r="C21">
        <v>2</v>
      </c>
      <c r="D21" s="17" t="s">
        <v>17</v>
      </c>
      <c r="E21" s="17" t="s">
        <v>18</v>
      </c>
      <c r="F21" s="17" t="s">
        <v>19</v>
      </c>
      <c r="G21">
        <v>3</v>
      </c>
      <c r="H21">
        <v>65000</v>
      </c>
      <c r="I21">
        <v>35000</v>
      </c>
      <c r="J21">
        <v>19500</v>
      </c>
      <c r="K21" s="17">
        <f>(Fact_Ventas_Detalle[[#This Row],[Cantidad]]*Fact_Ventas_Detalle[[#This Row],[Precio Unitario]])-Fact_Ventas_Detalle[[#This Row],[Descuento Linea]]</f>
        <v>175500</v>
      </c>
    </row>
    <row r="22" spans="1:11" x14ac:dyDescent="0.25">
      <c r="A22">
        <v>2</v>
      </c>
      <c r="B22" s="17" t="s">
        <v>567</v>
      </c>
      <c r="C22">
        <v>2</v>
      </c>
      <c r="D22" s="17" t="s">
        <v>24</v>
      </c>
      <c r="E22" s="17" t="s">
        <v>25</v>
      </c>
      <c r="F22" s="17" t="s">
        <v>14</v>
      </c>
      <c r="G22">
        <v>1</v>
      </c>
      <c r="H22">
        <v>850000</v>
      </c>
      <c r="I22">
        <v>620000</v>
      </c>
      <c r="J22">
        <v>85000</v>
      </c>
      <c r="K22" s="17">
        <f>(Fact_Ventas_Detalle[[#This Row],[Cantidad]]*Fact_Ventas_Detalle[[#This Row],[Precio Unitario]])-Fact_Ventas_Detalle[[#This Row],[Descuento Linea]]</f>
        <v>765000</v>
      </c>
    </row>
    <row r="23" spans="1:11" x14ac:dyDescent="0.25">
      <c r="A23">
        <v>2</v>
      </c>
      <c r="B23" s="17" t="s">
        <v>30</v>
      </c>
      <c r="C23">
        <v>1</v>
      </c>
      <c r="D23" s="17" t="s">
        <v>31</v>
      </c>
      <c r="E23" s="17" t="s">
        <v>32</v>
      </c>
      <c r="F23" s="17" t="s">
        <v>33</v>
      </c>
      <c r="G23">
        <v>3</v>
      </c>
      <c r="H23">
        <v>25000</v>
      </c>
      <c r="I23">
        <v>11000</v>
      </c>
      <c r="J23">
        <v>7500</v>
      </c>
      <c r="K23" s="17">
        <f>(Fact_Ventas_Detalle[[#This Row],[Cantidad]]*Fact_Ventas_Detalle[[#This Row],[Precio Unitario]])-Fact_Ventas_Detalle[[#This Row],[Descuento Linea]]</f>
        <v>67500</v>
      </c>
    </row>
    <row r="24" spans="1:11" x14ac:dyDescent="0.25">
      <c r="A24">
        <v>2</v>
      </c>
      <c r="B24" s="17" t="s">
        <v>34</v>
      </c>
      <c r="C24">
        <v>1</v>
      </c>
      <c r="D24" s="17" t="s">
        <v>24</v>
      </c>
      <c r="E24" s="17" t="s">
        <v>25</v>
      </c>
      <c r="F24" s="17" t="s">
        <v>14</v>
      </c>
      <c r="G24">
        <v>3</v>
      </c>
      <c r="H24">
        <v>850000</v>
      </c>
      <c r="I24">
        <v>620000</v>
      </c>
      <c r="J24">
        <v>255000</v>
      </c>
      <c r="K24" s="17">
        <f>(Fact_Ventas_Detalle[[#This Row],[Cantidad]]*Fact_Ventas_Detalle[[#This Row],[Precio Unitario]])-Fact_Ventas_Detalle[[#This Row],[Descuento Linea]]</f>
        <v>2295000</v>
      </c>
    </row>
    <row r="25" spans="1:11" x14ac:dyDescent="0.25">
      <c r="A25">
        <v>2</v>
      </c>
      <c r="B25" s="17" t="s">
        <v>35</v>
      </c>
      <c r="C25">
        <v>1</v>
      </c>
      <c r="D25" s="17" t="s">
        <v>12</v>
      </c>
      <c r="E25" s="17" t="s">
        <v>13</v>
      </c>
      <c r="F25" s="17" t="s">
        <v>14</v>
      </c>
      <c r="G25">
        <v>3</v>
      </c>
      <c r="H25">
        <v>280000</v>
      </c>
      <c r="I25">
        <v>190000</v>
      </c>
      <c r="J25">
        <v>42000</v>
      </c>
      <c r="K25" s="17">
        <f>(Fact_Ventas_Detalle[[#This Row],[Cantidad]]*Fact_Ventas_Detalle[[#This Row],[Precio Unitario]])-Fact_Ventas_Detalle[[#This Row],[Descuento Linea]]</f>
        <v>798000</v>
      </c>
    </row>
    <row r="26" spans="1:11" x14ac:dyDescent="0.25">
      <c r="A26">
        <v>3</v>
      </c>
      <c r="B26" s="17" t="s">
        <v>36</v>
      </c>
      <c r="C26">
        <v>1</v>
      </c>
      <c r="D26" s="17" t="s">
        <v>17</v>
      </c>
      <c r="E26" s="17" t="s">
        <v>18</v>
      </c>
      <c r="F26" s="17" t="s">
        <v>19</v>
      </c>
      <c r="G26">
        <v>1</v>
      </c>
      <c r="H26">
        <v>65000</v>
      </c>
      <c r="I26">
        <v>35000</v>
      </c>
      <c r="J26">
        <v>0</v>
      </c>
      <c r="K26" s="17">
        <f>(Fact_Ventas_Detalle[[#This Row],[Cantidad]]*Fact_Ventas_Detalle[[#This Row],[Precio Unitario]])-Fact_Ventas_Detalle[[#This Row],[Descuento Linea]]</f>
        <v>65000</v>
      </c>
    </row>
    <row r="27" spans="1:11" x14ac:dyDescent="0.25">
      <c r="A27">
        <v>3</v>
      </c>
      <c r="B27" s="17" t="s">
        <v>34</v>
      </c>
      <c r="C27">
        <v>2</v>
      </c>
      <c r="D27" s="17" t="s">
        <v>24</v>
      </c>
      <c r="E27" s="17" t="s">
        <v>25</v>
      </c>
      <c r="F27" s="17" t="s">
        <v>14</v>
      </c>
      <c r="G27">
        <v>3</v>
      </c>
      <c r="H27">
        <v>850000</v>
      </c>
      <c r="I27">
        <v>620000</v>
      </c>
      <c r="J27">
        <v>0</v>
      </c>
      <c r="K27" s="17">
        <f>(Fact_Ventas_Detalle[[#This Row],[Cantidad]]*Fact_Ventas_Detalle[[#This Row],[Precio Unitario]])-Fact_Ventas_Detalle[[#This Row],[Descuento Linea]]</f>
        <v>2550000</v>
      </c>
    </row>
    <row r="28" spans="1:11" x14ac:dyDescent="0.25">
      <c r="A28">
        <v>3</v>
      </c>
      <c r="B28" s="17" t="s">
        <v>35</v>
      </c>
      <c r="C28">
        <v>2</v>
      </c>
      <c r="D28" s="17" t="s">
        <v>37</v>
      </c>
      <c r="E28" s="17" t="s">
        <v>38</v>
      </c>
      <c r="F28" s="17" t="s">
        <v>33</v>
      </c>
      <c r="G28">
        <v>1</v>
      </c>
      <c r="H28">
        <v>45000</v>
      </c>
      <c r="I28">
        <v>22000</v>
      </c>
      <c r="J28">
        <v>0</v>
      </c>
      <c r="K28" s="17">
        <f>(Fact_Ventas_Detalle[[#This Row],[Cantidad]]*Fact_Ventas_Detalle[[#This Row],[Precio Unitario]])-Fact_Ventas_Detalle[[#This Row],[Descuento Linea]]</f>
        <v>45000</v>
      </c>
    </row>
    <row r="29" spans="1:11" x14ac:dyDescent="0.25">
      <c r="A29">
        <v>3</v>
      </c>
      <c r="B29" s="17" t="s">
        <v>793</v>
      </c>
      <c r="C29">
        <v>2</v>
      </c>
      <c r="D29" s="17" t="s">
        <v>39</v>
      </c>
      <c r="E29" s="17" t="s">
        <v>40</v>
      </c>
      <c r="F29" s="17" t="s">
        <v>14</v>
      </c>
      <c r="G29">
        <v>2</v>
      </c>
      <c r="H29">
        <v>75000</v>
      </c>
      <c r="I29">
        <v>42000</v>
      </c>
      <c r="J29">
        <v>0</v>
      </c>
      <c r="K29" s="17">
        <f>(Fact_Ventas_Detalle[[#This Row],[Cantidad]]*Fact_Ventas_Detalle[[#This Row],[Precio Unitario]])-Fact_Ventas_Detalle[[#This Row],[Descuento Linea]]</f>
        <v>150000</v>
      </c>
    </row>
    <row r="30" spans="1:11" x14ac:dyDescent="0.25">
      <c r="A30">
        <v>3</v>
      </c>
      <c r="B30" s="17" t="s">
        <v>23</v>
      </c>
      <c r="C30">
        <v>3</v>
      </c>
      <c r="D30" s="17" t="s">
        <v>39</v>
      </c>
      <c r="E30" s="17" t="s">
        <v>40</v>
      </c>
      <c r="F30" s="17" t="s">
        <v>14</v>
      </c>
      <c r="G30">
        <v>1</v>
      </c>
      <c r="H30">
        <v>75000</v>
      </c>
      <c r="I30">
        <v>42000</v>
      </c>
      <c r="J30">
        <v>0</v>
      </c>
      <c r="K30" s="17">
        <f>(Fact_Ventas_Detalle[[#This Row],[Cantidad]]*Fact_Ventas_Detalle[[#This Row],[Precio Unitario]])-Fact_Ventas_Detalle[[#This Row],[Descuento Linea]]</f>
        <v>75000</v>
      </c>
    </row>
    <row r="31" spans="1:11" x14ac:dyDescent="0.25">
      <c r="A31">
        <v>3</v>
      </c>
      <c r="B31" s="17" t="s">
        <v>11</v>
      </c>
      <c r="C31">
        <v>3</v>
      </c>
      <c r="D31" s="17" t="s">
        <v>17</v>
      </c>
      <c r="E31" s="17" t="s">
        <v>18</v>
      </c>
      <c r="F31" s="17" t="s">
        <v>19</v>
      </c>
      <c r="G31">
        <v>1</v>
      </c>
      <c r="H31">
        <v>65000</v>
      </c>
      <c r="I31">
        <v>35000</v>
      </c>
      <c r="J31">
        <v>0</v>
      </c>
      <c r="K31" s="17">
        <f>(Fact_Ventas_Detalle[[#This Row],[Cantidad]]*Fact_Ventas_Detalle[[#This Row],[Precio Unitario]])-Fact_Ventas_Detalle[[#This Row],[Descuento Linea]]</f>
        <v>65000</v>
      </c>
    </row>
    <row r="32" spans="1:11" x14ac:dyDescent="0.25">
      <c r="A32">
        <v>3</v>
      </c>
      <c r="B32" s="17" t="s">
        <v>15</v>
      </c>
      <c r="C32">
        <v>3</v>
      </c>
      <c r="D32" s="17" t="s">
        <v>24</v>
      </c>
      <c r="E32" s="17" t="s">
        <v>25</v>
      </c>
      <c r="F32" s="17" t="s">
        <v>14</v>
      </c>
      <c r="G32">
        <v>3</v>
      </c>
      <c r="H32">
        <v>850000</v>
      </c>
      <c r="I32">
        <v>620000</v>
      </c>
      <c r="J32">
        <v>255000</v>
      </c>
      <c r="K32" s="17">
        <f>(Fact_Ventas_Detalle[[#This Row],[Cantidad]]*Fact_Ventas_Detalle[[#This Row],[Precio Unitario]])-Fact_Ventas_Detalle[[#This Row],[Descuento Linea]]</f>
        <v>2295000</v>
      </c>
    </row>
    <row r="33" spans="1:11" x14ac:dyDescent="0.25">
      <c r="A33">
        <v>3</v>
      </c>
      <c r="B33" s="17" t="s">
        <v>16</v>
      </c>
      <c r="C33">
        <v>3</v>
      </c>
      <c r="D33" s="17" t="s">
        <v>12</v>
      </c>
      <c r="E33" s="17" t="s">
        <v>13</v>
      </c>
      <c r="F33" s="17" t="s">
        <v>14</v>
      </c>
      <c r="G33">
        <v>3</v>
      </c>
      <c r="H33">
        <v>280000</v>
      </c>
      <c r="I33">
        <v>190000</v>
      </c>
      <c r="J33">
        <v>84000</v>
      </c>
      <c r="K33" s="17">
        <f>(Fact_Ventas_Detalle[[#This Row],[Cantidad]]*Fact_Ventas_Detalle[[#This Row],[Precio Unitario]])-Fact_Ventas_Detalle[[#This Row],[Descuento Linea]]</f>
        <v>756000</v>
      </c>
    </row>
    <row r="34" spans="1:11" x14ac:dyDescent="0.25">
      <c r="A34">
        <v>3</v>
      </c>
      <c r="B34" s="17" t="s">
        <v>20</v>
      </c>
      <c r="C34">
        <v>3</v>
      </c>
      <c r="D34" s="17" t="s">
        <v>27</v>
      </c>
      <c r="E34" s="17" t="s">
        <v>28</v>
      </c>
      <c r="F34" s="17" t="s">
        <v>29</v>
      </c>
      <c r="G34">
        <v>3</v>
      </c>
      <c r="H34">
        <v>240000</v>
      </c>
      <c r="I34">
        <v>150000</v>
      </c>
      <c r="J34">
        <v>72000</v>
      </c>
      <c r="K34" s="17">
        <f>(Fact_Ventas_Detalle[[#This Row],[Cantidad]]*Fact_Ventas_Detalle[[#This Row],[Precio Unitario]])-Fact_Ventas_Detalle[[#This Row],[Descuento Linea]]</f>
        <v>648000</v>
      </c>
    </row>
    <row r="35" spans="1:11" x14ac:dyDescent="0.25">
      <c r="A35">
        <v>3</v>
      </c>
      <c r="B35" s="17" t="s">
        <v>531</v>
      </c>
      <c r="C35">
        <v>3</v>
      </c>
      <c r="D35" s="17" t="s">
        <v>42</v>
      </c>
      <c r="E35" s="17" t="s">
        <v>43</v>
      </c>
      <c r="F35" s="17" t="s">
        <v>29</v>
      </c>
      <c r="G35">
        <v>2</v>
      </c>
      <c r="H35">
        <v>185000</v>
      </c>
      <c r="I35">
        <v>115000</v>
      </c>
      <c r="J35">
        <v>18500</v>
      </c>
      <c r="K35" s="17">
        <f>(Fact_Ventas_Detalle[[#This Row],[Cantidad]]*Fact_Ventas_Detalle[[#This Row],[Precio Unitario]])-Fact_Ventas_Detalle[[#This Row],[Descuento Linea]]</f>
        <v>351500</v>
      </c>
    </row>
    <row r="36" spans="1:11" x14ac:dyDescent="0.25">
      <c r="A36">
        <v>3</v>
      </c>
      <c r="B36" s="17" t="s">
        <v>436</v>
      </c>
      <c r="C36">
        <v>3</v>
      </c>
      <c r="D36" s="17" t="s">
        <v>27</v>
      </c>
      <c r="E36" s="17" t="s">
        <v>28</v>
      </c>
      <c r="F36" s="17" t="s">
        <v>29</v>
      </c>
      <c r="G36">
        <v>1</v>
      </c>
      <c r="H36">
        <v>240000</v>
      </c>
      <c r="I36">
        <v>150000</v>
      </c>
      <c r="J36">
        <v>24000</v>
      </c>
      <c r="K36" s="17">
        <f>(Fact_Ventas_Detalle[[#This Row],[Cantidad]]*Fact_Ventas_Detalle[[#This Row],[Precio Unitario]])-Fact_Ventas_Detalle[[#This Row],[Descuento Linea]]</f>
        <v>216000</v>
      </c>
    </row>
    <row r="37" spans="1:11" x14ac:dyDescent="0.25">
      <c r="A37">
        <v>3</v>
      </c>
      <c r="B37" s="17" t="s">
        <v>567</v>
      </c>
      <c r="C37">
        <v>3</v>
      </c>
      <c r="D37" s="17" t="s">
        <v>37</v>
      </c>
      <c r="E37" s="17" t="s">
        <v>38</v>
      </c>
      <c r="F37" s="17" t="s">
        <v>33</v>
      </c>
      <c r="G37">
        <v>3</v>
      </c>
      <c r="H37">
        <v>45000</v>
      </c>
      <c r="I37">
        <v>22000</v>
      </c>
      <c r="J37">
        <v>13500</v>
      </c>
      <c r="K37" s="17">
        <f>(Fact_Ventas_Detalle[[#This Row],[Cantidad]]*Fact_Ventas_Detalle[[#This Row],[Precio Unitario]])-Fact_Ventas_Detalle[[#This Row],[Descuento Linea]]</f>
        <v>121500</v>
      </c>
    </row>
    <row r="38" spans="1:11" x14ac:dyDescent="0.25">
      <c r="A38">
        <v>4</v>
      </c>
      <c r="B38" s="17" t="s">
        <v>41</v>
      </c>
      <c r="C38">
        <v>1</v>
      </c>
      <c r="D38" s="17" t="s">
        <v>27</v>
      </c>
      <c r="E38" s="17" t="s">
        <v>28</v>
      </c>
      <c r="F38" s="17" t="s">
        <v>29</v>
      </c>
      <c r="G38">
        <v>2</v>
      </c>
      <c r="H38">
        <v>240000</v>
      </c>
      <c r="I38">
        <v>150000</v>
      </c>
      <c r="J38">
        <v>0</v>
      </c>
      <c r="K38" s="17">
        <f>(Fact_Ventas_Detalle[[#This Row],[Cantidad]]*Fact_Ventas_Detalle[[#This Row],[Precio Unitario]])-Fact_Ventas_Detalle[[#This Row],[Descuento Linea]]</f>
        <v>480000</v>
      </c>
    </row>
    <row r="39" spans="1:11" x14ac:dyDescent="0.25">
      <c r="A39">
        <v>4</v>
      </c>
      <c r="B39" s="17" t="s">
        <v>569</v>
      </c>
      <c r="C39">
        <v>1</v>
      </c>
      <c r="D39" s="17" t="s">
        <v>39</v>
      </c>
      <c r="E39" s="17" t="s">
        <v>40</v>
      </c>
      <c r="F39" s="17" t="s">
        <v>14</v>
      </c>
      <c r="G39">
        <v>1</v>
      </c>
      <c r="H39">
        <v>75000</v>
      </c>
      <c r="I39">
        <v>42000</v>
      </c>
      <c r="J39">
        <v>0</v>
      </c>
      <c r="K39" s="17">
        <f>(Fact_Ventas_Detalle[[#This Row],[Cantidad]]*Fact_Ventas_Detalle[[#This Row],[Precio Unitario]])-Fact_Ventas_Detalle[[#This Row],[Descuento Linea]]</f>
        <v>75000</v>
      </c>
    </row>
    <row r="40" spans="1:11" x14ac:dyDescent="0.25">
      <c r="A40">
        <v>4</v>
      </c>
      <c r="B40" s="17" t="s">
        <v>36</v>
      </c>
      <c r="C40">
        <v>2</v>
      </c>
      <c r="D40" s="17" t="s">
        <v>42</v>
      </c>
      <c r="E40" s="17" t="s">
        <v>43</v>
      </c>
      <c r="F40" s="17" t="s">
        <v>29</v>
      </c>
      <c r="G40">
        <v>1</v>
      </c>
      <c r="H40">
        <v>185000</v>
      </c>
      <c r="I40">
        <v>115000</v>
      </c>
      <c r="J40">
        <v>0</v>
      </c>
      <c r="K40" s="17">
        <f>(Fact_Ventas_Detalle[[#This Row],[Cantidad]]*Fact_Ventas_Detalle[[#This Row],[Precio Unitario]])-Fact_Ventas_Detalle[[#This Row],[Descuento Linea]]</f>
        <v>185000</v>
      </c>
    </row>
    <row r="41" spans="1:11" x14ac:dyDescent="0.25">
      <c r="A41">
        <v>4</v>
      </c>
      <c r="B41" s="17" t="s">
        <v>34</v>
      </c>
      <c r="C41">
        <v>3</v>
      </c>
      <c r="D41" s="17" t="s">
        <v>42</v>
      </c>
      <c r="E41" s="17" t="s">
        <v>43</v>
      </c>
      <c r="F41" s="17" t="s">
        <v>29</v>
      </c>
      <c r="G41">
        <v>2</v>
      </c>
      <c r="H41">
        <v>185000</v>
      </c>
      <c r="I41">
        <v>115000</v>
      </c>
      <c r="J41">
        <v>0</v>
      </c>
      <c r="K41" s="17">
        <f>(Fact_Ventas_Detalle[[#This Row],[Cantidad]]*Fact_Ventas_Detalle[[#This Row],[Precio Unitario]])-Fact_Ventas_Detalle[[#This Row],[Descuento Linea]]</f>
        <v>370000</v>
      </c>
    </row>
    <row r="42" spans="1:11" x14ac:dyDescent="0.25">
      <c r="A42">
        <v>4</v>
      </c>
      <c r="B42" s="17" t="s">
        <v>35</v>
      </c>
      <c r="C42">
        <v>3</v>
      </c>
      <c r="D42" s="17" t="s">
        <v>17</v>
      </c>
      <c r="E42" s="17" t="s">
        <v>18</v>
      </c>
      <c r="F42" s="17" t="s">
        <v>19</v>
      </c>
      <c r="G42">
        <v>2</v>
      </c>
      <c r="H42">
        <v>65000</v>
      </c>
      <c r="I42">
        <v>35000</v>
      </c>
      <c r="J42">
        <v>0</v>
      </c>
      <c r="K42" s="17">
        <f>(Fact_Ventas_Detalle[[#This Row],[Cantidad]]*Fact_Ventas_Detalle[[#This Row],[Precio Unitario]])-Fact_Ventas_Detalle[[#This Row],[Descuento Linea]]</f>
        <v>130000</v>
      </c>
    </row>
    <row r="43" spans="1:11" x14ac:dyDescent="0.25">
      <c r="A43">
        <v>4</v>
      </c>
      <c r="B43" s="17" t="s">
        <v>793</v>
      </c>
      <c r="C43">
        <v>3</v>
      </c>
      <c r="D43" s="17" t="s">
        <v>39</v>
      </c>
      <c r="E43" s="17" t="s">
        <v>40</v>
      </c>
      <c r="F43" s="17" t="s">
        <v>14</v>
      </c>
      <c r="G43">
        <v>2</v>
      </c>
      <c r="H43">
        <v>75000</v>
      </c>
      <c r="I43">
        <v>42000</v>
      </c>
      <c r="J43">
        <v>0</v>
      </c>
      <c r="K43" s="17">
        <f>(Fact_Ventas_Detalle[[#This Row],[Cantidad]]*Fact_Ventas_Detalle[[#This Row],[Precio Unitario]])-Fact_Ventas_Detalle[[#This Row],[Descuento Linea]]</f>
        <v>150000</v>
      </c>
    </row>
    <row r="44" spans="1:11" x14ac:dyDescent="0.25">
      <c r="A44">
        <v>4</v>
      </c>
      <c r="B44" s="17" t="s">
        <v>23</v>
      </c>
      <c r="C44">
        <v>4</v>
      </c>
      <c r="D44" s="17" t="s">
        <v>27</v>
      </c>
      <c r="E44" s="17" t="s">
        <v>28</v>
      </c>
      <c r="F44" s="17" t="s">
        <v>29</v>
      </c>
      <c r="G44">
        <v>3</v>
      </c>
      <c r="H44">
        <v>240000</v>
      </c>
      <c r="I44">
        <v>150000</v>
      </c>
      <c r="J44">
        <v>0</v>
      </c>
      <c r="K44" s="17">
        <f>(Fact_Ventas_Detalle[[#This Row],[Cantidad]]*Fact_Ventas_Detalle[[#This Row],[Precio Unitario]])-Fact_Ventas_Detalle[[#This Row],[Descuento Linea]]</f>
        <v>720000</v>
      </c>
    </row>
    <row r="45" spans="1:11" x14ac:dyDescent="0.25">
      <c r="A45">
        <v>4</v>
      </c>
      <c r="B45" s="17" t="s">
        <v>15</v>
      </c>
      <c r="C45">
        <v>4</v>
      </c>
      <c r="D45" s="17" t="s">
        <v>27</v>
      </c>
      <c r="E45" s="17" t="s">
        <v>28</v>
      </c>
      <c r="F45" s="17" t="s">
        <v>29</v>
      </c>
      <c r="G45">
        <v>2</v>
      </c>
      <c r="H45">
        <v>240000</v>
      </c>
      <c r="I45">
        <v>150000</v>
      </c>
      <c r="J45">
        <v>0</v>
      </c>
      <c r="K45" s="17">
        <f>(Fact_Ventas_Detalle[[#This Row],[Cantidad]]*Fact_Ventas_Detalle[[#This Row],[Precio Unitario]])-Fact_Ventas_Detalle[[#This Row],[Descuento Linea]]</f>
        <v>480000</v>
      </c>
    </row>
    <row r="46" spans="1:11" x14ac:dyDescent="0.25">
      <c r="A46">
        <v>4</v>
      </c>
      <c r="B46" s="17" t="s">
        <v>11</v>
      </c>
      <c r="C46">
        <v>4</v>
      </c>
      <c r="D46" s="17" t="s">
        <v>42</v>
      </c>
      <c r="E46" s="17" t="s">
        <v>43</v>
      </c>
      <c r="F46" s="17" t="s">
        <v>29</v>
      </c>
      <c r="G46">
        <v>1</v>
      </c>
      <c r="H46">
        <v>185000</v>
      </c>
      <c r="I46">
        <v>115000</v>
      </c>
      <c r="J46">
        <v>9250</v>
      </c>
      <c r="K46" s="17">
        <f>(Fact_Ventas_Detalle[[#This Row],[Cantidad]]*Fact_Ventas_Detalle[[#This Row],[Precio Unitario]])-Fact_Ventas_Detalle[[#This Row],[Descuento Linea]]</f>
        <v>175750</v>
      </c>
    </row>
    <row r="47" spans="1:11" x14ac:dyDescent="0.25">
      <c r="A47">
        <v>4</v>
      </c>
      <c r="B47" s="17" t="s">
        <v>531</v>
      </c>
      <c r="C47">
        <v>4</v>
      </c>
      <c r="D47" s="17" t="s">
        <v>24</v>
      </c>
      <c r="E47" s="17" t="s">
        <v>25</v>
      </c>
      <c r="F47" s="17" t="s">
        <v>14</v>
      </c>
      <c r="G47">
        <v>2</v>
      </c>
      <c r="H47">
        <v>850000</v>
      </c>
      <c r="I47">
        <v>620000</v>
      </c>
      <c r="J47">
        <v>170000</v>
      </c>
      <c r="K47" s="17">
        <f>(Fact_Ventas_Detalle[[#This Row],[Cantidad]]*Fact_Ventas_Detalle[[#This Row],[Precio Unitario]])-Fact_Ventas_Detalle[[#This Row],[Descuento Linea]]</f>
        <v>1530000</v>
      </c>
    </row>
    <row r="48" spans="1:11" x14ac:dyDescent="0.25">
      <c r="A48">
        <v>4</v>
      </c>
      <c r="B48" s="17" t="s">
        <v>44</v>
      </c>
      <c r="C48">
        <v>1</v>
      </c>
      <c r="D48" s="17" t="s">
        <v>24</v>
      </c>
      <c r="E48" s="17" t="s">
        <v>25</v>
      </c>
      <c r="F48" s="17" t="s">
        <v>14</v>
      </c>
      <c r="G48">
        <v>2</v>
      </c>
      <c r="H48">
        <v>850000</v>
      </c>
      <c r="I48">
        <v>620000</v>
      </c>
      <c r="J48">
        <v>85000</v>
      </c>
      <c r="K48" s="17">
        <f>(Fact_Ventas_Detalle[[#This Row],[Cantidad]]*Fact_Ventas_Detalle[[#This Row],[Precio Unitario]])-Fact_Ventas_Detalle[[#This Row],[Descuento Linea]]</f>
        <v>1615000</v>
      </c>
    </row>
    <row r="49" spans="1:11" x14ac:dyDescent="0.25">
      <c r="A49">
        <v>4</v>
      </c>
      <c r="B49" s="17" t="s">
        <v>817</v>
      </c>
      <c r="C49">
        <v>1</v>
      </c>
      <c r="D49" s="17" t="s">
        <v>42</v>
      </c>
      <c r="E49" s="17" t="s">
        <v>43</v>
      </c>
      <c r="F49" s="17" t="s">
        <v>29</v>
      </c>
      <c r="G49">
        <v>1</v>
      </c>
      <c r="H49">
        <v>185000</v>
      </c>
      <c r="I49">
        <v>115000</v>
      </c>
      <c r="J49">
        <v>9250</v>
      </c>
      <c r="K49" s="17">
        <f>(Fact_Ventas_Detalle[[#This Row],[Cantidad]]*Fact_Ventas_Detalle[[#This Row],[Precio Unitario]])-Fact_Ventas_Detalle[[#This Row],[Descuento Linea]]</f>
        <v>175750</v>
      </c>
    </row>
    <row r="50" spans="1:11" x14ac:dyDescent="0.25">
      <c r="A50">
        <v>5</v>
      </c>
      <c r="B50" s="17" t="s">
        <v>45</v>
      </c>
      <c r="C50">
        <v>1</v>
      </c>
      <c r="D50" s="17" t="s">
        <v>12</v>
      </c>
      <c r="E50" s="17" t="s">
        <v>13</v>
      </c>
      <c r="F50" s="17" t="s">
        <v>14</v>
      </c>
      <c r="G50">
        <v>3</v>
      </c>
      <c r="H50">
        <v>280000</v>
      </c>
      <c r="I50">
        <v>190000</v>
      </c>
      <c r="J50">
        <v>0</v>
      </c>
      <c r="K50" s="17">
        <f>(Fact_Ventas_Detalle[[#This Row],[Cantidad]]*Fact_Ventas_Detalle[[#This Row],[Precio Unitario]])-Fact_Ventas_Detalle[[#This Row],[Descuento Linea]]</f>
        <v>840000</v>
      </c>
    </row>
    <row r="51" spans="1:11" x14ac:dyDescent="0.25">
      <c r="A51">
        <v>5</v>
      </c>
      <c r="B51" s="17" t="s">
        <v>464</v>
      </c>
      <c r="C51">
        <v>1</v>
      </c>
      <c r="D51" s="17" t="s">
        <v>37</v>
      </c>
      <c r="E51" s="17" t="s">
        <v>38</v>
      </c>
      <c r="F51" s="17" t="s">
        <v>33</v>
      </c>
      <c r="G51">
        <v>2</v>
      </c>
      <c r="H51">
        <v>45000</v>
      </c>
      <c r="I51">
        <v>22000</v>
      </c>
      <c r="J51">
        <v>0</v>
      </c>
      <c r="K51" s="17">
        <f>(Fact_Ventas_Detalle[[#This Row],[Cantidad]]*Fact_Ventas_Detalle[[#This Row],[Precio Unitario]])-Fact_Ventas_Detalle[[#This Row],[Descuento Linea]]</f>
        <v>90000</v>
      </c>
    </row>
    <row r="52" spans="1:11" x14ac:dyDescent="0.25">
      <c r="A52">
        <v>5</v>
      </c>
      <c r="B52" s="17" t="s">
        <v>817</v>
      </c>
      <c r="C52">
        <v>2</v>
      </c>
      <c r="D52" s="17" t="s">
        <v>12</v>
      </c>
      <c r="E52" s="17" t="s">
        <v>13</v>
      </c>
      <c r="F52" s="17" t="s">
        <v>14</v>
      </c>
      <c r="G52">
        <v>2</v>
      </c>
      <c r="H52">
        <v>280000</v>
      </c>
      <c r="I52">
        <v>190000</v>
      </c>
      <c r="J52">
        <v>0</v>
      </c>
      <c r="K52" s="17">
        <f>(Fact_Ventas_Detalle[[#This Row],[Cantidad]]*Fact_Ventas_Detalle[[#This Row],[Precio Unitario]])-Fact_Ventas_Detalle[[#This Row],[Descuento Linea]]</f>
        <v>560000</v>
      </c>
    </row>
    <row r="53" spans="1:11" x14ac:dyDescent="0.25">
      <c r="A53">
        <v>5</v>
      </c>
      <c r="B53" s="17" t="s">
        <v>36</v>
      </c>
      <c r="C53">
        <v>3</v>
      </c>
      <c r="D53" s="17" t="s">
        <v>27</v>
      </c>
      <c r="E53" s="17" t="s">
        <v>28</v>
      </c>
      <c r="F53" s="17" t="s">
        <v>29</v>
      </c>
      <c r="G53">
        <v>1</v>
      </c>
      <c r="H53">
        <v>240000</v>
      </c>
      <c r="I53">
        <v>150000</v>
      </c>
      <c r="J53">
        <v>12000</v>
      </c>
      <c r="K53" s="17">
        <f>(Fact_Ventas_Detalle[[#This Row],[Cantidad]]*Fact_Ventas_Detalle[[#This Row],[Precio Unitario]])-Fact_Ventas_Detalle[[#This Row],[Descuento Linea]]</f>
        <v>228000</v>
      </c>
    </row>
    <row r="54" spans="1:11" x14ac:dyDescent="0.25">
      <c r="A54">
        <v>5</v>
      </c>
      <c r="B54" s="17" t="s">
        <v>47</v>
      </c>
      <c r="C54">
        <v>1</v>
      </c>
      <c r="D54" s="17" t="s">
        <v>12</v>
      </c>
      <c r="E54" s="17" t="s">
        <v>13</v>
      </c>
      <c r="F54" s="17" t="s">
        <v>14</v>
      </c>
      <c r="G54">
        <v>2</v>
      </c>
      <c r="H54">
        <v>280000</v>
      </c>
      <c r="I54">
        <v>190000</v>
      </c>
      <c r="J54">
        <v>56000</v>
      </c>
      <c r="K54" s="17">
        <f>(Fact_Ventas_Detalle[[#This Row],[Cantidad]]*Fact_Ventas_Detalle[[#This Row],[Precio Unitario]])-Fact_Ventas_Detalle[[#This Row],[Descuento Linea]]</f>
        <v>504000</v>
      </c>
    </row>
    <row r="55" spans="1:11" x14ac:dyDescent="0.25">
      <c r="A55">
        <v>5</v>
      </c>
      <c r="B55" s="17" t="s">
        <v>49</v>
      </c>
      <c r="C55">
        <v>1</v>
      </c>
      <c r="D55" s="17" t="s">
        <v>27</v>
      </c>
      <c r="E55" s="17" t="s">
        <v>28</v>
      </c>
      <c r="F55" s="17" t="s">
        <v>29</v>
      </c>
      <c r="G55">
        <v>2</v>
      </c>
      <c r="H55">
        <v>240000</v>
      </c>
      <c r="I55">
        <v>150000</v>
      </c>
      <c r="J55">
        <v>24000</v>
      </c>
      <c r="K55" s="17">
        <f>(Fact_Ventas_Detalle[[#This Row],[Cantidad]]*Fact_Ventas_Detalle[[#This Row],[Precio Unitario]])-Fact_Ventas_Detalle[[#This Row],[Descuento Linea]]</f>
        <v>456000</v>
      </c>
    </row>
    <row r="56" spans="1:11" x14ac:dyDescent="0.25">
      <c r="A56">
        <v>5</v>
      </c>
      <c r="B56" s="17" t="s">
        <v>46</v>
      </c>
      <c r="C56">
        <v>1</v>
      </c>
      <c r="D56" s="17" t="s">
        <v>17</v>
      </c>
      <c r="E56" s="17" t="s">
        <v>18</v>
      </c>
      <c r="F56" s="17" t="s">
        <v>19</v>
      </c>
      <c r="G56">
        <v>3</v>
      </c>
      <c r="H56">
        <v>65000</v>
      </c>
      <c r="I56">
        <v>35000</v>
      </c>
      <c r="J56">
        <v>19500</v>
      </c>
      <c r="K56" s="17">
        <f>(Fact_Ventas_Detalle[[#This Row],[Cantidad]]*Fact_Ventas_Detalle[[#This Row],[Precio Unitario]])-Fact_Ventas_Detalle[[#This Row],[Descuento Linea]]</f>
        <v>175500</v>
      </c>
    </row>
    <row r="57" spans="1:11" x14ac:dyDescent="0.25">
      <c r="A57">
        <v>5</v>
      </c>
      <c r="B57" s="17" t="s">
        <v>48</v>
      </c>
      <c r="C57">
        <v>1</v>
      </c>
      <c r="D57" s="17" t="s">
        <v>37</v>
      </c>
      <c r="E57" s="17" t="s">
        <v>38</v>
      </c>
      <c r="F57" s="17" t="s">
        <v>33</v>
      </c>
      <c r="G57">
        <v>3</v>
      </c>
      <c r="H57">
        <v>45000</v>
      </c>
      <c r="I57">
        <v>22000</v>
      </c>
      <c r="J57">
        <v>13500</v>
      </c>
      <c r="K57" s="17">
        <f>(Fact_Ventas_Detalle[[#This Row],[Cantidad]]*Fact_Ventas_Detalle[[#This Row],[Precio Unitario]])-Fact_Ventas_Detalle[[#This Row],[Descuento Linea]]</f>
        <v>121500</v>
      </c>
    </row>
    <row r="58" spans="1:11" x14ac:dyDescent="0.25">
      <c r="A58">
        <v>5</v>
      </c>
      <c r="B58" s="17" t="s">
        <v>50</v>
      </c>
      <c r="C58">
        <v>1</v>
      </c>
      <c r="D58" s="17" t="s">
        <v>39</v>
      </c>
      <c r="E58" s="17" t="s">
        <v>40</v>
      </c>
      <c r="F58" s="17" t="s">
        <v>14</v>
      </c>
      <c r="G58">
        <v>3</v>
      </c>
      <c r="H58">
        <v>75000</v>
      </c>
      <c r="I58">
        <v>42000</v>
      </c>
      <c r="J58">
        <v>11250</v>
      </c>
      <c r="K58" s="17">
        <f>(Fact_Ventas_Detalle[[#This Row],[Cantidad]]*Fact_Ventas_Detalle[[#This Row],[Precio Unitario]])-Fact_Ventas_Detalle[[#This Row],[Descuento Linea]]</f>
        <v>213750</v>
      </c>
    </row>
    <row r="59" spans="1:11" x14ac:dyDescent="0.25">
      <c r="A59">
        <v>5</v>
      </c>
      <c r="B59" s="17" t="s">
        <v>51</v>
      </c>
      <c r="C59">
        <v>1</v>
      </c>
      <c r="D59" s="17" t="s">
        <v>24</v>
      </c>
      <c r="E59" s="17" t="s">
        <v>25</v>
      </c>
      <c r="F59" s="17" t="s">
        <v>14</v>
      </c>
      <c r="G59">
        <v>3</v>
      </c>
      <c r="H59">
        <v>850000</v>
      </c>
      <c r="I59">
        <v>620000</v>
      </c>
      <c r="J59">
        <v>127500</v>
      </c>
      <c r="K59" s="17">
        <f>(Fact_Ventas_Detalle[[#This Row],[Cantidad]]*Fact_Ventas_Detalle[[#This Row],[Precio Unitario]])-Fact_Ventas_Detalle[[#This Row],[Descuento Linea]]</f>
        <v>2422500</v>
      </c>
    </row>
    <row r="60" spans="1:11" x14ac:dyDescent="0.25">
      <c r="A60">
        <v>5</v>
      </c>
      <c r="B60" s="17" t="s">
        <v>680</v>
      </c>
      <c r="C60">
        <v>1</v>
      </c>
      <c r="D60" s="17" t="s">
        <v>31</v>
      </c>
      <c r="E60" s="17" t="s">
        <v>32</v>
      </c>
      <c r="F60" s="17" t="s">
        <v>33</v>
      </c>
      <c r="G60">
        <v>3</v>
      </c>
      <c r="H60">
        <v>25000</v>
      </c>
      <c r="I60">
        <v>11000</v>
      </c>
      <c r="J60">
        <v>3750</v>
      </c>
      <c r="K60" s="17">
        <f>(Fact_Ventas_Detalle[[#This Row],[Cantidad]]*Fact_Ventas_Detalle[[#This Row],[Precio Unitario]])-Fact_Ventas_Detalle[[#This Row],[Descuento Linea]]</f>
        <v>71250</v>
      </c>
    </row>
    <row r="61" spans="1:11" x14ac:dyDescent="0.25">
      <c r="A61">
        <v>5</v>
      </c>
      <c r="B61" s="17" t="s">
        <v>533</v>
      </c>
      <c r="C61">
        <v>1</v>
      </c>
      <c r="D61" s="17" t="s">
        <v>31</v>
      </c>
      <c r="E61" s="17" t="s">
        <v>32</v>
      </c>
      <c r="F61" s="17" t="s">
        <v>33</v>
      </c>
      <c r="G61">
        <v>3</v>
      </c>
      <c r="H61">
        <v>25000</v>
      </c>
      <c r="I61">
        <v>11000</v>
      </c>
      <c r="J61">
        <v>7500</v>
      </c>
      <c r="K61" s="17">
        <f>(Fact_Ventas_Detalle[[#This Row],[Cantidad]]*Fact_Ventas_Detalle[[#This Row],[Precio Unitario]])-Fact_Ventas_Detalle[[#This Row],[Descuento Linea]]</f>
        <v>67500</v>
      </c>
    </row>
    <row r="62" spans="1:11" x14ac:dyDescent="0.25">
      <c r="A62">
        <v>6</v>
      </c>
      <c r="B62" s="17" t="s">
        <v>48</v>
      </c>
      <c r="C62">
        <v>2</v>
      </c>
      <c r="D62" s="17" t="s">
        <v>12</v>
      </c>
      <c r="E62" s="17" t="s">
        <v>13</v>
      </c>
      <c r="F62" s="17" t="s">
        <v>14</v>
      </c>
      <c r="G62">
        <v>2</v>
      </c>
      <c r="H62">
        <v>280000</v>
      </c>
      <c r="I62">
        <v>190000</v>
      </c>
      <c r="J62">
        <v>0</v>
      </c>
      <c r="K62" s="17">
        <f>(Fact_Ventas_Detalle[[#This Row],[Cantidad]]*Fact_Ventas_Detalle[[#This Row],[Precio Unitario]])-Fact_Ventas_Detalle[[#This Row],[Descuento Linea]]</f>
        <v>560000</v>
      </c>
    </row>
    <row r="63" spans="1:11" x14ac:dyDescent="0.25">
      <c r="A63">
        <v>6</v>
      </c>
      <c r="B63" s="17" t="s">
        <v>49</v>
      </c>
      <c r="C63">
        <v>2</v>
      </c>
      <c r="D63" s="17" t="s">
        <v>27</v>
      </c>
      <c r="E63" s="17" t="s">
        <v>28</v>
      </c>
      <c r="F63" s="17" t="s">
        <v>29</v>
      </c>
      <c r="G63">
        <v>1</v>
      </c>
      <c r="H63">
        <v>240000</v>
      </c>
      <c r="I63">
        <v>150000</v>
      </c>
      <c r="J63">
        <v>0</v>
      </c>
      <c r="K63" s="17">
        <f>(Fact_Ventas_Detalle[[#This Row],[Cantidad]]*Fact_Ventas_Detalle[[#This Row],[Precio Unitario]])-Fact_Ventas_Detalle[[#This Row],[Descuento Linea]]</f>
        <v>240000</v>
      </c>
    </row>
    <row r="64" spans="1:11" x14ac:dyDescent="0.25">
      <c r="A64">
        <v>6</v>
      </c>
      <c r="B64" s="17" t="s">
        <v>45</v>
      </c>
      <c r="C64">
        <v>2</v>
      </c>
      <c r="D64" s="17" t="s">
        <v>12</v>
      </c>
      <c r="E64" s="17" t="s">
        <v>13</v>
      </c>
      <c r="F64" s="17" t="s">
        <v>14</v>
      </c>
      <c r="G64">
        <v>1</v>
      </c>
      <c r="H64">
        <v>280000</v>
      </c>
      <c r="I64">
        <v>190000</v>
      </c>
      <c r="J64">
        <v>0</v>
      </c>
      <c r="K64" s="17">
        <f>(Fact_Ventas_Detalle[[#This Row],[Cantidad]]*Fact_Ventas_Detalle[[#This Row],[Precio Unitario]])-Fact_Ventas_Detalle[[#This Row],[Descuento Linea]]</f>
        <v>280000</v>
      </c>
    </row>
    <row r="65" spans="1:11" x14ac:dyDescent="0.25">
      <c r="A65">
        <v>6</v>
      </c>
      <c r="B65" s="17" t="s">
        <v>817</v>
      </c>
      <c r="C65">
        <v>3</v>
      </c>
      <c r="D65" s="17" t="s">
        <v>42</v>
      </c>
      <c r="E65" s="17" t="s">
        <v>43</v>
      </c>
      <c r="F65" s="17" t="s">
        <v>29</v>
      </c>
      <c r="G65">
        <v>3</v>
      </c>
      <c r="H65">
        <v>185000</v>
      </c>
      <c r="I65">
        <v>115000</v>
      </c>
      <c r="J65">
        <v>55500</v>
      </c>
      <c r="K65" s="17">
        <f>(Fact_Ventas_Detalle[[#This Row],[Cantidad]]*Fact_Ventas_Detalle[[#This Row],[Precio Unitario]])-Fact_Ventas_Detalle[[#This Row],[Descuento Linea]]</f>
        <v>499500</v>
      </c>
    </row>
    <row r="66" spans="1:11" x14ac:dyDescent="0.25">
      <c r="A66">
        <v>6</v>
      </c>
      <c r="B66" s="17" t="s">
        <v>46</v>
      </c>
      <c r="C66">
        <v>2</v>
      </c>
      <c r="D66" s="17" t="s">
        <v>42</v>
      </c>
      <c r="E66" s="17" t="s">
        <v>43</v>
      </c>
      <c r="F66" s="17" t="s">
        <v>29</v>
      </c>
      <c r="G66">
        <v>2</v>
      </c>
      <c r="H66">
        <v>185000</v>
      </c>
      <c r="I66">
        <v>115000</v>
      </c>
      <c r="J66">
        <v>18500</v>
      </c>
      <c r="K66" s="17">
        <f>(Fact_Ventas_Detalle[[#This Row],[Cantidad]]*Fact_Ventas_Detalle[[#This Row],[Precio Unitario]])-Fact_Ventas_Detalle[[#This Row],[Descuento Linea]]</f>
        <v>351500</v>
      </c>
    </row>
    <row r="67" spans="1:11" x14ac:dyDescent="0.25">
      <c r="A67">
        <v>6</v>
      </c>
      <c r="B67" s="17" t="s">
        <v>47</v>
      </c>
      <c r="C67">
        <v>2</v>
      </c>
      <c r="D67" s="17" t="s">
        <v>42</v>
      </c>
      <c r="E67" s="17" t="s">
        <v>43</v>
      </c>
      <c r="F67" s="17" t="s">
        <v>29</v>
      </c>
      <c r="G67">
        <v>3</v>
      </c>
      <c r="H67">
        <v>185000</v>
      </c>
      <c r="I67">
        <v>115000</v>
      </c>
      <c r="J67">
        <v>55500</v>
      </c>
      <c r="K67" s="17">
        <f>(Fact_Ventas_Detalle[[#This Row],[Cantidad]]*Fact_Ventas_Detalle[[#This Row],[Precio Unitario]])-Fact_Ventas_Detalle[[#This Row],[Descuento Linea]]</f>
        <v>499500</v>
      </c>
    </row>
    <row r="68" spans="1:11" x14ac:dyDescent="0.25">
      <c r="A68">
        <v>6</v>
      </c>
      <c r="B68" s="17" t="s">
        <v>50</v>
      </c>
      <c r="C68">
        <v>2</v>
      </c>
      <c r="D68" s="17" t="s">
        <v>42</v>
      </c>
      <c r="E68" s="17" t="s">
        <v>43</v>
      </c>
      <c r="F68" s="17" t="s">
        <v>29</v>
      </c>
      <c r="G68">
        <v>2</v>
      </c>
      <c r="H68">
        <v>185000</v>
      </c>
      <c r="I68">
        <v>115000</v>
      </c>
      <c r="J68">
        <v>37000</v>
      </c>
      <c r="K68" s="17">
        <f>(Fact_Ventas_Detalle[[#This Row],[Cantidad]]*Fact_Ventas_Detalle[[#This Row],[Precio Unitario]])-Fact_Ventas_Detalle[[#This Row],[Descuento Linea]]</f>
        <v>333000</v>
      </c>
    </row>
    <row r="69" spans="1:11" x14ac:dyDescent="0.25">
      <c r="A69">
        <v>6</v>
      </c>
      <c r="B69" s="17" t="s">
        <v>51</v>
      </c>
      <c r="C69">
        <v>2</v>
      </c>
      <c r="D69" s="17" t="s">
        <v>17</v>
      </c>
      <c r="E69" s="17" t="s">
        <v>18</v>
      </c>
      <c r="F69" s="17" t="s">
        <v>19</v>
      </c>
      <c r="G69">
        <v>2</v>
      </c>
      <c r="H69">
        <v>65000</v>
      </c>
      <c r="I69">
        <v>35000</v>
      </c>
      <c r="J69">
        <v>13000</v>
      </c>
      <c r="K69" s="17">
        <f>(Fact_Ventas_Detalle[[#This Row],[Cantidad]]*Fact_Ventas_Detalle[[#This Row],[Precio Unitario]])-Fact_Ventas_Detalle[[#This Row],[Descuento Linea]]</f>
        <v>117000</v>
      </c>
    </row>
    <row r="70" spans="1:11" x14ac:dyDescent="0.25">
      <c r="A70">
        <v>6</v>
      </c>
      <c r="B70" s="17" t="s">
        <v>533</v>
      </c>
      <c r="C70">
        <v>2</v>
      </c>
      <c r="D70" s="17" t="s">
        <v>31</v>
      </c>
      <c r="E70" s="17" t="s">
        <v>32</v>
      </c>
      <c r="F70" s="17" t="s">
        <v>33</v>
      </c>
      <c r="G70">
        <v>2</v>
      </c>
      <c r="H70">
        <v>25000</v>
      </c>
      <c r="I70">
        <v>11000</v>
      </c>
      <c r="J70">
        <v>2500</v>
      </c>
      <c r="K70" s="17">
        <f>(Fact_Ventas_Detalle[[#This Row],[Cantidad]]*Fact_Ventas_Detalle[[#This Row],[Precio Unitario]])-Fact_Ventas_Detalle[[#This Row],[Descuento Linea]]</f>
        <v>47500</v>
      </c>
    </row>
    <row r="71" spans="1:11" x14ac:dyDescent="0.25">
      <c r="A71">
        <v>6</v>
      </c>
      <c r="B71" s="17" t="s">
        <v>464</v>
      </c>
      <c r="C71">
        <v>2</v>
      </c>
      <c r="D71" s="17" t="s">
        <v>37</v>
      </c>
      <c r="E71" s="17" t="s">
        <v>38</v>
      </c>
      <c r="F71" s="17" t="s">
        <v>33</v>
      </c>
      <c r="G71">
        <v>3</v>
      </c>
      <c r="H71">
        <v>45000</v>
      </c>
      <c r="I71">
        <v>22000</v>
      </c>
      <c r="J71">
        <v>13500</v>
      </c>
      <c r="K71" s="17">
        <f>(Fact_Ventas_Detalle[[#This Row],[Cantidad]]*Fact_Ventas_Detalle[[#This Row],[Precio Unitario]])-Fact_Ventas_Detalle[[#This Row],[Descuento Linea]]</f>
        <v>121500</v>
      </c>
    </row>
    <row r="72" spans="1:11" x14ac:dyDescent="0.25">
      <c r="A72">
        <v>6</v>
      </c>
      <c r="B72" s="17" t="s">
        <v>52</v>
      </c>
      <c r="C72">
        <v>1</v>
      </c>
      <c r="D72" s="17" t="s">
        <v>27</v>
      </c>
      <c r="E72" s="17" t="s">
        <v>28</v>
      </c>
      <c r="F72" s="17" t="s">
        <v>29</v>
      </c>
      <c r="G72">
        <v>1</v>
      </c>
      <c r="H72">
        <v>240000</v>
      </c>
      <c r="I72">
        <v>150000</v>
      </c>
      <c r="J72">
        <v>12000</v>
      </c>
      <c r="K72" s="17">
        <f>(Fact_Ventas_Detalle[[#This Row],[Cantidad]]*Fact_Ventas_Detalle[[#This Row],[Precio Unitario]])-Fact_Ventas_Detalle[[#This Row],[Descuento Linea]]</f>
        <v>228000</v>
      </c>
    </row>
    <row r="73" spans="1:11" x14ac:dyDescent="0.25">
      <c r="A73">
        <v>6</v>
      </c>
      <c r="B73" s="17" t="s">
        <v>402</v>
      </c>
      <c r="C73">
        <v>1</v>
      </c>
      <c r="D73" s="17" t="s">
        <v>42</v>
      </c>
      <c r="E73" s="17" t="s">
        <v>43</v>
      </c>
      <c r="F73" s="17" t="s">
        <v>29</v>
      </c>
      <c r="G73">
        <v>1</v>
      </c>
      <c r="H73">
        <v>185000</v>
      </c>
      <c r="I73">
        <v>115000</v>
      </c>
      <c r="J73">
        <v>18500</v>
      </c>
      <c r="K73" s="17">
        <f>(Fact_Ventas_Detalle[[#This Row],[Cantidad]]*Fact_Ventas_Detalle[[#This Row],[Precio Unitario]])-Fact_Ventas_Detalle[[#This Row],[Descuento Linea]]</f>
        <v>166500</v>
      </c>
    </row>
    <row r="74" spans="1:11" x14ac:dyDescent="0.25">
      <c r="A74">
        <v>7</v>
      </c>
      <c r="B74" s="17" t="s">
        <v>53</v>
      </c>
      <c r="C74">
        <v>1</v>
      </c>
      <c r="D74" s="17" t="s">
        <v>17</v>
      </c>
      <c r="E74" s="17" t="s">
        <v>18</v>
      </c>
      <c r="F74" s="17" t="s">
        <v>19</v>
      </c>
      <c r="G74">
        <v>1</v>
      </c>
      <c r="H74">
        <v>65000</v>
      </c>
      <c r="I74">
        <v>35000</v>
      </c>
      <c r="J74">
        <v>0</v>
      </c>
      <c r="K74" s="17">
        <f>(Fact_Ventas_Detalle[[#This Row],[Cantidad]]*Fact_Ventas_Detalle[[#This Row],[Precio Unitario]])-Fact_Ventas_Detalle[[#This Row],[Descuento Linea]]</f>
        <v>65000</v>
      </c>
    </row>
    <row r="75" spans="1:11" x14ac:dyDescent="0.25">
      <c r="A75">
        <v>7</v>
      </c>
      <c r="B75" s="17" t="s">
        <v>54</v>
      </c>
      <c r="C75">
        <v>1</v>
      </c>
      <c r="D75" s="17" t="s">
        <v>31</v>
      </c>
      <c r="E75" s="17" t="s">
        <v>32</v>
      </c>
      <c r="F75" s="17" t="s">
        <v>33</v>
      </c>
      <c r="G75">
        <v>1</v>
      </c>
      <c r="H75">
        <v>25000</v>
      </c>
      <c r="I75">
        <v>11000</v>
      </c>
      <c r="J75">
        <v>0</v>
      </c>
      <c r="K75" s="17">
        <f>(Fact_Ventas_Detalle[[#This Row],[Cantidad]]*Fact_Ventas_Detalle[[#This Row],[Precio Unitario]])-Fact_Ventas_Detalle[[#This Row],[Descuento Linea]]</f>
        <v>25000</v>
      </c>
    </row>
    <row r="76" spans="1:11" x14ac:dyDescent="0.25">
      <c r="A76">
        <v>7</v>
      </c>
      <c r="B76" s="17" t="s">
        <v>47</v>
      </c>
      <c r="C76">
        <v>3</v>
      </c>
      <c r="D76" s="17" t="s">
        <v>24</v>
      </c>
      <c r="E76" s="17" t="s">
        <v>25</v>
      </c>
      <c r="F76" s="17" t="s">
        <v>14</v>
      </c>
      <c r="G76">
        <v>3</v>
      </c>
      <c r="H76">
        <v>850000</v>
      </c>
      <c r="I76">
        <v>620000</v>
      </c>
      <c r="J76">
        <v>0</v>
      </c>
      <c r="K76" s="17">
        <f>(Fact_Ventas_Detalle[[#This Row],[Cantidad]]*Fact_Ventas_Detalle[[#This Row],[Precio Unitario]])-Fact_Ventas_Detalle[[#This Row],[Descuento Linea]]</f>
        <v>2550000</v>
      </c>
    </row>
    <row r="77" spans="1:11" x14ac:dyDescent="0.25">
      <c r="A77">
        <v>7</v>
      </c>
      <c r="B77" s="17" t="s">
        <v>533</v>
      </c>
      <c r="C77">
        <v>3</v>
      </c>
      <c r="D77" s="17" t="s">
        <v>12</v>
      </c>
      <c r="E77" s="17" t="s">
        <v>13</v>
      </c>
      <c r="F77" s="17" t="s">
        <v>14</v>
      </c>
      <c r="G77">
        <v>1</v>
      </c>
      <c r="H77">
        <v>280000</v>
      </c>
      <c r="I77">
        <v>190000</v>
      </c>
      <c r="J77">
        <v>0</v>
      </c>
      <c r="K77" s="17">
        <f>(Fact_Ventas_Detalle[[#This Row],[Cantidad]]*Fact_Ventas_Detalle[[#This Row],[Precio Unitario]])-Fact_Ventas_Detalle[[#This Row],[Descuento Linea]]</f>
        <v>280000</v>
      </c>
    </row>
    <row r="78" spans="1:11" x14ac:dyDescent="0.25">
      <c r="A78">
        <v>7</v>
      </c>
      <c r="B78" s="17" t="s">
        <v>464</v>
      </c>
      <c r="C78">
        <v>3</v>
      </c>
      <c r="D78" s="17" t="s">
        <v>37</v>
      </c>
      <c r="E78" s="17" t="s">
        <v>38</v>
      </c>
      <c r="F78" s="17" t="s">
        <v>33</v>
      </c>
      <c r="G78">
        <v>2</v>
      </c>
      <c r="H78">
        <v>45000</v>
      </c>
      <c r="I78">
        <v>22000</v>
      </c>
      <c r="J78">
        <v>0</v>
      </c>
      <c r="K78" s="17">
        <f>(Fact_Ventas_Detalle[[#This Row],[Cantidad]]*Fact_Ventas_Detalle[[#This Row],[Precio Unitario]])-Fact_Ventas_Detalle[[#This Row],[Descuento Linea]]</f>
        <v>90000</v>
      </c>
    </row>
    <row r="79" spans="1:11" x14ac:dyDescent="0.25">
      <c r="A79">
        <v>7</v>
      </c>
      <c r="B79" s="17" t="s">
        <v>817</v>
      </c>
      <c r="C79">
        <v>4</v>
      </c>
      <c r="D79" s="17" t="s">
        <v>12</v>
      </c>
      <c r="E79" s="17" t="s">
        <v>13</v>
      </c>
      <c r="F79" s="17" t="s">
        <v>14</v>
      </c>
      <c r="G79">
        <v>3</v>
      </c>
      <c r="H79">
        <v>280000</v>
      </c>
      <c r="I79">
        <v>190000</v>
      </c>
      <c r="J79">
        <v>0</v>
      </c>
      <c r="K79" s="17">
        <f>(Fact_Ventas_Detalle[[#This Row],[Cantidad]]*Fact_Ventas_Detalle[[#This Row],[Precio Unitario]])-Fact_Ventas_Detalle[[#This Row],[Descuento Linea]]</f>
        <v>840000</v>
      </c>
    </row>
    <row r="80" spans="1:11" x14ac:dyDescent="0.25">
      <c r="A80">
        <v>7</v>
      </c>
      <c r="B80" s="17" t="s">
        <v>46</v>
      </c>
      <c r="C80">
        <v>3</v>
      </c>
      <c r="D80" s="17" t="s">
        <v>37</v>
      </c>
      <c r="E80" s="17" t="s">
        <v>38</v>
      </c>
      <c r="F80" s="17" t="s">
        <v>33</v>
      </c>
      <c r="G80">
        <v>1</v>
      </c>
      <c r="H80">
        <v>45000</v>
      </c>
      <c r="I80">
        <v>22000</v>
      </c>
      <c r="J80">
        <v>4500</v>
      </c>
      <c r="K80" s="17">
        <f>(Fact_Ventas_Detalle[[#This Row],[Cantidad]]*Fact_Ventas_Detalle[[#This Row],[Precio Unitario]])-Fact_Ventas_Detalle[[#This Row],[Descuento Linea]]</f>
        <v>40500</v>
      </c>
    </row>
    <row r="81" spans="1:11" x14ac:dyDescent="0.25">
      <c r="A81">
        <v>7</v>
      </c>
      <c r="B81" s="17" t="s">
        <v>51</v>
      </c>
      <c r="C81">
        <v>3</v>
      </c>
      <c r="D81" s="17" t="s">
        <v>24</v>
      </c>
      <c r="E81" s="17" t="s">
        <v>25</v>
      </c>
      <c r="F81" s="17" t="s">
        <v>14</v>
      </c>
      <c r="G81">
        <v>1</v>
      </c>
      <c r="H81">
        <v>850000</v>
      </c>
      <c r="I81">
        <v>620000</v>
      </c>
      <c r="J81">
        <v>85000</v>
      </c>
      <c r="K81" s="17">
        <f>(Fact_Ventas_Detalle[[#This Row],[Cantidad]]*Fact_Ventas_Detalle[[#This Row],[Precio Unitario]])-Fact_Ventas_Detalle[[#This Row],[Descuento Linea]]</f>
        <v>765000</v>
      </c>
    </row>
    <row r="82" spans="1:11" x14ac:dyDescent="0.25">
      <c r="A82">
        <v>7</v>
      </c>
      <c r="B82" s="17" t="s">
        <v>56</v>
      </c>
      <c r="C82">
        <v>1</v>
      </c>
      <c r="D82" s="17" t="s">
        <v>42</v>
      </c>
      <c r="E82" s="17" t="s">
        <v>43</v>
      </c>
      <c r="F82" s="17" t="s">
        <v>29</v>
      </c>
      <c r="G82">
        <v>3</v>
      </c>
      <c r="H82">
        <v>185000</v>
      </c>
      <c r="I82">
        <v>115000</v>
      </c>
      <c r="J82">
        <v>55500</v>
      </c>
      <c r="K82" s="17">
        <f>(Fact_Ventas_Detalle[[#This Row],[Cantidad]]*Fact_Ventas_Detalle[[#This Row],[Precio Unitario]])-Fact_Ventas_Detalle[[#This Row],[Descuento Linea]]</f>
        <v>499500</v>
      </c>
    </row>
    <row r="83" spans="1:11" x14ac:dyDescent="0.25">
      <c r="A83">
        <v>7</v>
      </c>
      <c r="B83" s="17" t="s">
        <v>55</v>
      </c>
      <c r="C83">
        <v>1</v>
      </c>
      <c r="D83" s="17" t="s">
        <v>12</v>
      </c>
      <c r="E83" s="17" t="s">
        <v>13</v>
      </c>
      <c r="F83" s="17" t="s">
        <v>14</v>
      </c>
      <c r="G83">
        <v>1</v>
      </c>
      <c r="H83">
        <v>280000</v>
      </c>
      <c r="I83">
        <v>190000</v>
      </c>
      <c r="J83">
        <v>28000</v>
      </c>
      <c r="K83" s="17">
        <f>(Fact_Ventas_Detalle[[#This Row],[Cantidad]]*Fact_Ventas_Detalle[[#This Row],[Precio Unitario]])-Fact_Ventas_Detalle[[#This Row],[Descuento Linea]]</f>
        <v>252000</v>
      </c>
    </row>
    <row r="84" spans="1:11" x14ac:dyDescent="0.25">
      <c r="A84">
        <v>7</v>
      </c>
      <c r="B84" s="17" t="s">
        <v>57</v>
      </c>
      <c r="C84">
        <v>1</v>
      </c>
      <c r="D84" s="17" t="s">
        <v>27</v>
      </c>
      <c r="E84" s="17" t="s">
        <v>28</v>
      </c>
      <c r="F84" s="17" t="s">
        <v>29</v>
      </c>
      <c r="G84">
        <v>1</v>
      </c>
      <c r="H84">
        <v>240000</v>
      </c>
      <c r="I84">
        <v>150000</v>
      </c>
      <c r="J84">
        <v>24000</v>
      </c>
      <c r="K84" s="17">
        <f>(Fact_Ventas_Detalle[[#This Row],[Cantidad]]*Fact_Ventas_Detalle[[#This Row],[Precio Unitario]])-Fact_Ventas_Detalle[[#This Row],[Descuento Linea]]</f>
        <v>216000</v>
      </c>
    </row>
    <row r="85" spans="1:11" x14ac:dyDescent="0.25">
      <c r="A85">
        <v>7</v>
      </c>
      <c r="B85" s="17" t="s">
        <v>795</v>
      </c>
      <c r="C85">
        <v>1</v>
      </c>
      <c r="D85" s="17" t="s">
        <v>42</v>
      </c>
      <c r="E85" s="17" t="s">
        <v>43</v>
      </c>
      <c r="F85" s="17" t="s">
        <v>29</v>
      </c>
      <c r="G85">
        <v>1</v>
      </c>
      <c r="H85">
        <v>185000</v>
      </c>
      <c r="I85">
        <v>115000</v>
      </c>
      <c r="J85">
        <v>9250</v>
      </c>
      <c r="K85" s="17">
        <f>(Fact_Ventas_Detalle[[#This Row],[Cantidad]]*Fact_Ventas_Detalle[[#This Row],[Precio Unitario]])-Fact_Ventas_Detalle[[#This Row],[Descuento Linea]]</f>
        <v>175750</v>
      </c>
    </row>
    <row r="86" spans="1:11" x14ac:dyDescent="0.25">
      <c r="A86">
        <v>8</v>
      </c>
      <c r="B86" s="17" t="s">
        <v>438</v>
      </c>
      <c r="C86">
        <v>1</v>
      </c>
      <c r="D86" s="17" t="s">
        <v>17</v>
      </c>
      <c r="E86" s="17" t="s">
        <v>18</v>
      </c>
      <c r="F86" s="17" t="s">
        <v>19</v>
      </c>
      <c r="G86">
        <v>3</v>
      </c>
      <c r="H86">
        <v>65000</v>
      </c>
      <c r="I86">
        <v>35000</v>
      </c>
      <c r="J86">
        <v>0</v>
      </c>
      <c r="K86" s="17">
        <f>(Fact_Ventas_Detalle[[#This Row],[Cantidad]]*Fact_Ventas_Detalle[[#This Row],[Precio Unitario]])-Fact_Ventas_Detalle[[#This Row],[Descuento Linea]]</f>
        <v>195000</v>
      </c>
    </row>
    <row r="87" spans="1:11" x14ac:dyDescent="0.25">
      <c r="A87">
        <v>8</v>
      </c>
      <c r="B87" s="17" t="s">
        <v>58</v>
      </c>
      <c r="C87">
        <v>1</v>
      </c>
      <c r="D87" s="17" t="s">
        <v>12</v>
      </c>
      <c r="E87" s="17" t="s">
        <v>13</v>
      </c>
      <c r="F87" s="17" t="s">
        <v>14</v>
      </c>
      <c r="G87">
        <v>2</v>
      </c>
      <c r="H87">
        <v>280000</v>
      </c>
      <c r="I87">
        <v>190000</v>
      </c>
      <c r="J87">
        <v>0</v>
      </c>
      <c r="K87" s="17">
        <f>(Fact_Ventas_Detalle[[#This Row],[Cantidad]]*Fact_Ventas_Detalle[[#This Row],[Precio Unitario]])-Fact_Ventas_Detalle[[#This Row],[Descuento Linea]]</f>
        <v>560000</v>
      </c>
    </row>
    <row r="88" spans="1:11" x14ac:dyDescent="0.25">
      <c r="A88">
        <v>8</v>
      </c>
      <c r="B88" s="17" t="s">
        <v>571</v>
      </c>
      <c r="C88">
        <v>1</v>
      </c>
      <c r="D88" s="17" t="s">
        <v>31</v>
      </c>
      <c r="E88" s="17" t="s">
        <v>32</v>
      </c>
      <c r="F88" s="17" t="s">
        <v>33</v>
      </c>
      <c r="G88">
        <v>1</v>
      </c>
      <c r="H88">
        <v>25000</v>
      </c>
      <c r="I88">
        <v>11000</v>
      </c>
      <c r="J88">
        <v>0</v>
      </c>
      <c r="K88" s="17">
        <f>(Fact_Ventas_Detalle[[#This Row],[Cantidad]]*Fact_Ventas_Detalle[[#This Row],[Precio Unitario]])-Fact_Ventas_Detalle[[#This Row],[Descuento Linea]]</f>
        <v>25000</v>
      </c>
    </row>
    <row r="89" spans="1:11" x14ac:dyDescent="0.25">
      <c r="A89">
        <v>8</v>
      </c>
      <c r="B89" s="17" t="s">
        <v>55</v>
      </c>
      <c r="C89">
        <v>2</v>
      </c>
      <c r="D89" s="17" t="s">
        <v>24</v>
      </c>
      <c r="E89" s="17" t="s">
        <v>25</v>
      </c>
      <c r="F89" s="17" t="s">
        <v>14</v>
      </c>
      <c r="G89">
        <v>3</v>
      </c>
      <c r="H89">
        <v>850000</v>
      </c>
      <c r="I89">
        <v>620000</v>
      </c>
      <c r="J89">
        <v>0</v>
      </c>
      <c r="K89" s="17">
        <f>(Fact_Ventas_Detalle[[#This Row],[Cantidad]]*Fact_Ventas_Detalle[[#This Row],[Precio Unitario]])-Fact_Ventas_Detalle[[#This Row],[Descuento Linea]]</f>
        <v>2550000</v>
      </c>
    </row>
    <row r="90" spans="1:11" x14ac:dyDescent="0.25">
      <c r="A90">
        <v>8</v>
      </c>
      <c r="B90" s="17" t="s">
        <v>795</v>
      </c>
      <c r="C90">
        <v>2</v>
      </c>
      <c r="D90" s="17" t="s">
        <v>42</v>
      </c>
      <c r="E90" s="17" t="s">
        <v>43</v>
      </c>
      <c r="F90" s="17" t="s">
        <v>29</v>
      </c>
      <c r="G90">
        <v>3</v>
      </c>
      <c r="H90">
        <v>185000</v>
      </c>
      <c r="I90">
        <v>115000</v>
      </c>
      <c r="J90">
        <v>0</v>
      </c>
      <c r="K90" s="17">
        <f>(Fact_Ventas_Detalle[[#This Row],[Cantidad]]*Fact_Ventas_Detalle[[#This Row],[Precio Unitario]])-Fact_Ventas_Detalle[[#This Row],[Descuento Linea]]</f>
        <v>555000</v>
      </c>
    </row>
    <row r="91" spans="1:11" x14ac:dyDescent="0.25">
      <c r="A91">
        <v>8</v>
      </c>
      <c r="B91" s="17" t="s">
        <v>47</v>
      </c>
      <c r="C91">
        <v>4</v>
      </c>
      <c r="D91" s="17" t="s">
        <v>31</v>
      </c>
      <c r="E91" s="17" t="s">
        <v>32</v>
      </c>
      <c r="F91" s="17" t="s">
        <v>33</v>
      </c>
      <c r="G91">
        <v>3</v>
      </c>
      <c r="H91">
        <v>25000</v>
      </c>
      <c r="I91">
        <v>11000</v>
      </c>
      <c r="J91">
        <v>3750</v>
      </c>
      <c r="K91" s="17">
        <f>(Fact_Ventas_Detalle[[#This Row],[Cantidad]]*Fact_Ventas_Detalle[[#This Row],[Precio Unitario]])-Fact_Ventas_Detalle[[#This Row],[Descuento Linea]]</f>
        <v>71250</v>
      </c>
    </row>
    <row r="92" spans="1:11" x14ac:dyDescent="0.25">
      <c r="A92">
        <v>8</v>
      </c>
      <c r="B92" s="17" t="s">
        <v>53</v>
      </c>
      <c r="C92">
        <v>2</v>
      </c>
      <c r="D92" s="17" t="s">
        <v>12</v>
      </c>
      <c r="E92" s="17" t="s">
        <v>13</v>
      </c>
      <c r="F92" s="17" t="s">
        <v>14</v>
      </c>
      <c r="G92">
        <v>2</v>
      </c>
      <c r="H92">
        <v>280000</v>
      </c>
      <c r="I92">
        <v>190000</v>
      </c>
      <c r="J92">
        <v>28000</v>
      </c>
      <c r="K92" s="17">
        <f>(Fact_Ventas_Detalle[[#This Row],[Cantidad]]*Fact_Ventas_Detalle[[#This Row],[Precio Unitario]])-Fact_Ventas_Detalle[[#This Row],[Descuento Linea]]</f>
        <v>532000</v>
      </c>
    </row>
    <row r="93" spans="1:11" x14ac:dyDescent="0.25">
      <c r="A93">
        <v>8</v>
      </c>
      <c r="B93" s="17" t="s">
        <v>54</v>
      </c>
      <c r="C93">
        <v>2</v>
      </c>
      <c r="D93" s="17" t="s">
        <v>31</v>
      </c>
      <c r="E93" s="17" t="s">
        <v>32</v>
      </c>
      <c r="F93" s="17" t="s">
        <v>33</v>
      </c>
      <c r="G93">
        <v>2</v>
      </c>
      <c r="H93">
        <v>25000</v>
      </c>
      <c r="I93">
        <v>11000</v>
      </c>
      <c r="J93">
        <v>5000</v>
      </c>
      <c r="K93" s="17">
        <f>(Fact_Ventas_Detalle[[#This Row],[Cantidad]]*Fact_Ventas_Detalle[[#This Row],[Precio Unitario]])-Fact_Ventas_Detalle[[#This Row],[Descuento Linea]]</f>
        <v>45000</v>
      </c>
    </row>
    <row r="94" spans="1:11" x14ac:dyDescent="0.25">
      <c r="A94">
        <v>8</v>
      </c>
      <c r="B94" s="17" t="s">
        <v>57</v>
      </c>
      <c r="C94">
        <v>2</v>
      </c>
      <c r="D94" s="17" t="s">
        <v>42</v>
      </c>
      <c r="E94" s="17" t="s">
        <v>43</v>
      </c>
      <c r="F94" s="17" t="s">
        <v>29</v>
      </c>
      <c r="G94">
        <v>3</v>
      </c>
      <c r="H94">
        <v>185000</v>
      </c>
      <c r="I94">
        <v>115000</v>
      </c>
      <c r="J94">
        <v>27750</v>
      </c>
      <c r="K94" s="17">
        <f>(Fact_Ventas_Detalle[[#This Row],[Cantidad]]*Fact_Ventas_Detalle[[#This Row],[Precio Unitario]])-Fact_Ventas_Detalle[[#This Row],[Descuento Linea]]</f>
        <v>527250</v>
      </c>
    </row>
    <row r="95" spans="1:11" x14ac:dyDescent="0.25">
      <c r="A95">
        <v>8</v>
      </c>
      <c r="B95" s="17" t="s">
        <v>59</v>
      </c>
      <c r="C95">
        <v>1</v>
      </c>
      <c r="D95" s="17" t="s">
        <v>31</v>
      </c>
      <c r="E95" s="17" t="s">
        <v>32</v>
      </c>
      <c r="F95" s="17" t="s">
        <v>33</v>
      </c>
      <c r="G95">
        <v>2</v>
      </c>
      <c r="H95">
        <v>25000</v>
      </c>
      <c r="I95">
        <v>11000</v>
      </c>
      <c r="J95">
        <v>2500</v>
      </c>
      <c r="K95" s="17">
        <f>(Fact_Ventas_Detalle[[#This Row],[Cantidad]]*Fact_Ventas_Detalle[[#This Row],[Precio Unitario]])-Fact_Ventas_Detalle[[#This Row],[Descuento Linea]]</f>
        <v>47500</v>
      </c>
    </row>
    <row r="96" spans="1:11" x14ac:dyDescent="0.25">
      <c r="A96">
        <v>8</v>
      </c>
      <c r="B96" s="17" t="s">
        <v>60</v>
      </c>
      <c r="C96">
        <v>1</v>
      </c>
      <c r="D96" s="17" t="s">
        <v>37</v>
      </c>
      <c r="E96" s="17" t="s">
        <v>38</v>
      </c>
      <c r="F96" s="17" t="s">
        <v>33</v>
      </c>
      <c r="G96">
        <v>2</v>
      </c>
      <c r="H96">
        <v>45000</v>
      </c>
      <c r="I96">
        <v>22000</v>
      </c>
      <c r="J96">
        <v>4500</v>
      </c>
      <c r="K96" s="17">
        <f>(Fact_Ventas_Detalle[[#This Row],[Cantidad]]*Fact_Ventas_Detalle[[#This Row],[Precio Unitario]])-Fact_Ventas_Detalle[[#This Row],[Descuento Linea]]</f>
        <v>85500</v>
      </c>
    </row>
    <row r="97" spans="1:11" x14ac:dyDescent="0.25">
      <c r="A97">
        <v>8</v>
      </c>
      <c r="B97" s="17" t="s">
        <v>416</v>
      </c>
      <c r="C97">
        <v>1</v>
      </c>
      <c r="D97" s="17" t="s">
        <v>12</v>
      </c>
      <c r="E97" s="17" t="s">
        <v>13</v>
      </c>
      <c r="F97" s="17" t="s">
        <v>14</v>
      </c>
      <c r="G97">
        <v>3</v>
      </c>
      <c r="H97">
        <v>280000</v>
      </c>
      <c r="I97">
        <v>190000</v>
      </c>
      <c r="J97">
        <v>84000</v>
      </c>
      <c r="K97" s="17">
        <f>(Fact_Ventas_Detalle[[#This Row],[Cantidad]]*Fact_Ventas_Detalle[[#This Row],[Precio Unitario]])-Fact_Ventas_Detalle[[#This Row],[Descuento Linea]]</f>
        <v>756000</v>
      </c>
    </row>
    <row r="98" spans="1:11" x14ac:dyDescent="0.25">
      <c r="A98">
        <v>9</v>
      </c>
      <c r="B98" s="17" t="s">
        <v>61</v>
      </c>
      <c r="C98">
        <v>1</v>
      </c>
      <c r="D98" s="17" t="s">
        <v>39</v>
      </c>
      <c r="E98" s="17" t="s">
        <v>40</v>
      </c>
      <c r="F98" s="17" t="s">
        <v>14</v>
      </c>
      <c r="G98">
        <v>2</v>
      </c>
      <c r="H98">
        <v>75000</v>
      </c>
      <c r="I98">
        <v>42000</v>
      </c>
      <c r="J98">
        <v>0</v>
      </c>
      <c r="K98" s="17">
        <f>(Fact_Ventas_Detalle[[#This Row],[Cantidad]]*Fact_Ventas_Detalle[[#This Row],[Precio Unitario]])-Fact_Ventas_Detalle[[#This Row],[Descuento Linea]]</f>
        <v>150000</v>
      </c>
    </row>
    <row r="99" spans="1:11" x14ac:dyDescent="0.25">
      <c r="A99">
        <v>9</v>
      </c>
      <c r="B99" s="17" t="s">
        <v>571</v>
      </c>
      <c r="C99">
        <v>2</v>
      </c>
      <c r="D99" s="17" t="s">
        <v>39</v>
      </c>
      <c r="E99" s="17" t="s">
        <v>40</v>
      </c>
      <c r="F99" s="17" t="s">
        <v>14</v>
      </c>
      <c r="G99">
        <v>1</v>
      </c>
      <c r="H99">
        <v>75000</v>
      </c>
      <c r="I99">
        <v>42000</v>
      </c>
      <c r="J99">
        <v>0</v>
      </c>
      <c r="K99" s="17">
        <f>(Fact_Ventas_Detalle[[#This Row],[Cantidad]]*Fact_Ventas_Detalle[[#This Row],[Precio Unitario]])-Fact_Ventas_Detalle[[#This Row],[Descuento Linea]]</f>
        <v>75000</v>
      </c>
    </row>
    <row r="100" spans="1:11" x14ac:dyDescent="0.25">
      <c r="A100">
        <v>9</v>
      </c>
      <c r="B100" s="17" t="s">
        <v>795</v>
      </c>
      <c r="C100">
        <v>3</v>
      </c>
      <c r="D100" s="17" t="s">
        <v>37</v>
      </c>
      <c r="E100" s="17" t="s">
        <v>38</v>
      </c>
      <c r="F100" s="17" t="s">
        <v>33</v>
      </c>
      <c r="G100">
        <v>3</v>
      </c>
      <c r="H100">
        <v>45000</v>
      </c>
      <c r="I100">
        <v>22000</v>
      </c>
      <c r="J100">
        <v>0</v>
      </c>
      <c r="K100" s="17">
        <f>(Fact_Ventas_Detalle[[#This Row],[Cantidad]]*Fact_Ventas_Detalle[[#This Row],[Precio Unitario]])-Fact_Ventas_Detalle[[#This Row],[Descuento Linea]]</f>
        <v>135000</v>
      </c>
    </row>
    <row r="101" spans="1:11" x14ac:dyDescent="0.25">
      <c r="A101">
        <v>9</v>
      </c>
      <c r="B101" s="17" t="s">
        <v>55</v>
      </c>
      <c r="C101">
        <v>3</v>
      </c>
      <c r="D101" s="17" t="s">
        <v>37</v>
      </c>
      <c r="E101" s="17" t="s">
        <v>38</v>
      </c>
      <c r="F101" s="17" t="s">
        <v>33</v>
      </c>
      <c r="G101">
        <v>2</v>
      </c>
      <c r="H101">
        <v>45000</v>
      </c>
      <c r="I101">
        <v>22000</v>
      </c>
      <c r="J101">
        <v>9000</v>
      </c>
      <c r="K101" s="17">
        <f>(Fact_Ventas_Detalle[[#This Row],[Cantidad]]*Fact_Ventas_Detalle[[#This Row],[Precio Unitario]])-Fact_Ventas_Detalle[[#This Row],[Descuento Linea]]</f>
        <v>81000</v>
      </c>
    </row>
    <row r="102" spans="1:11" x14ac:dyDescent="0.25">
      <c r="A102">
        <v>9</v>
      </c>
      <c r="B102" s="17" t="s">
        <v>57</v>
      </c>
      <c r="C102">
        <v>3</v>
      </c>
      <c r="D102" s="17" t="s">
        <v>31</v>
      </c>
      <c r="E102" s="17" t="s">
        <v>32</v>
      </c>
      <c r="F102" s="17" t="s">
        <v>33</v>
      </c>
      <c r="G102">
        <v>2</v>
      </c>
      <c r="H102">
        <v>25000</v>
      </c>
      <c r="I102">
        <v>11000</v>
      </c>
      <c r="J102">
        <v>5000</v>
      </c>
      <c r="K102" s="17">
        <f>(Fact_Ventas_Detalle[[#This Row],[Cantidad]]*Fact_Ventas_Detalle[[#This Row],[Precio Unitario]])-Fact_Ventas_Detalle[[#This Row],[Descuento Linea]]</f>
        <v>45000</v>
      </c>
    </row>
    <row r="103" spans="1:11" x14ac:dyDescent="0.25">
      <c r="A103">
        <v>9</v>
      </c>
      <c r="B103" s="17" t="s">
        <v>59</v>
      </c>
      <c r="C103">
        <v>2</v>
      </c>
      <c r="D103" s="17" t="s">
        <v>39</v>
      </c>
      <c r="E103" s="17" t="s">
        <v>40</v>
      </c>
      <c r="F103" s="17" t="s">
        <v>14</v>
      </c>
      <c r="G103">
        <v>2</v>
      </c>
      <c r="H103">
        <v>75000</v>
      </c>
      <c r="I103">
        <v>42000</v>
      </c>
      <c r="J103">
        <v>15000</v>
      </c>
      <c r="K103" s="17">
        <f>(Fact_Ventas_Detalle[[#This Row],[Cantidad]]*Fact_Ventas_Detalle[[#This Row],[Precio Unitario]])-Fact_Ventas_Detalle[[#This Row],[Descuento Linea]]</f>
        <v>135000</v>
      </c>
    </row>
    <row r="104" spans="1:11" x14ac:dyDescent="0.25">
      <c r="A104">
        <v>9</v>
      </c>
      <c r="B104" s="17" t="s">
        <v>416</v>
      </c>
      <c r="C104">
        <v>2</v>
      </c>
      <c r="D104" s="17" t="s">
        <v>37</v>
      </c>
      <c r="E104" s="17" t="s">
        <v>38</v>
      </c>
      <c r="F104" s="17" t="s">
        <v>33</v>
      </c>
      <c r="G104">
        <v>1</v>
      </c>
      <c r="H104">
        <v>45000</v>
      </c>
      <c r="I104">
        <v>22000</v>
      </c>
      <c r="J104">
        <v>4500</v>
      </c>
      <c r="K104" s="17">
        <f>(Fact_Ventas_Detalle[[#This Row],[Cantidad]]*Fact_Ventas_Detalle[[#This Row],[Precio Unitario]])-Fact_Ventas_Detalle[[#This Row],[Descuento Linea]]</f>
        <v>40500</v>
      </c>
    </row>
    <row r="105" spans="1:11" x14ac:dyDescent="0.25">
      <c r="A105">
        <v>9</v>
      </c>
      <c r="B105" s="17" t="s">
        <v>438</v>
      </c>
      <c r="C105">
        <v>2</v>
      </c>
      <c r="D105" s="17" t="s">
        <v>12</v>
      </c>
      <c r="E105" s="17" t="s">
        <v>13</v>
      </c>
      <c r="F105" s="17" t="s">
        <v>14</v>
      </c>
      <c r="G105">
        <v>3</v>
      </c>
      <c r="H105">
        <v>280000</v>
      </c>
      <c r="I105">
        <v>190000</v>
      </c>
      <c r="J105">
        <v>42000</v>
      </c>
      <c r="K105" s="17">
        <f>(Fact_Ventas_Detalle[[#This Row],[Cantidad]]*Fact_Ventas_Detalle[[#This Row],[Precio Unitario]])-Fact_Ventas_Detalle[[#This Row],[Descuento Linea]]</f>
        <v>798000</v>
      </c>
    </row>
    <row r="106" spans="1:11" x14ac:dyDescent="0.25">
      <c r="A106">
        <v>9</v>
      </c>
      <c r="B106" s="17" t="s">
        <v>65</v>
      </c>
      <c r="C106">
        <v>1</v>
      </c>
      <c r="D106" s="17" t="s">
        <v>12</v>
      </c>
      <c r="E106" s="17" t="s">
        <v>13</v>
      </c>
      <c r="F106" s="17" t="s">
        <v>14</v>
      </c>
      <c r="G106">
        <v>2</v>
      </c>
      <c r="H106">
        <v>280000</v>
      </c>
      <c r="I106">
        <v>190000</v>
      </c>
      <c r="J106">
        <v>56000</v>
      </c>
      <c r="K106" s="17">
        <f>(Fact_Ventas_Detalle[[#This Row],[Cantidad]]*Fact_Ventas_Detalle[[#This Row],[Precio Unitario]])-Fact_Ventas_Detalle[[#This Row],[Descuento Linea]]</f>
        <v>504000</v>
      </c>
    </row>
    <row r="107" spans="1:11" x14ac:dyDescent="0.25">
      <c r="A107">
        <v>9</v>
      </c>
      <c r="B107" s="17" t="s">
        <v>64</v>
      </c>
      <c r="C107">
        <v>1</v>
      </c>
      <c r="D107" s="17" t="s">
        <v>42</v>
      </c>
      <c r="E107" s="17" t="s">
        <v>43</v>
      </c>
      <c r="F107" s="17" t="s">
        <v>29</v>
      </c>
      <c r="G107">
        <v>3</v>
      </c>
      <c r="H107">
        <v>185000</v>
      </c>
      <c r="I107">
        <v>115000</v>
      </c>
      <c r="J107">
        <v>27750</v>
      </c>
      <c r="K107" s="17">
        <f>(Fact_Ventas_Detalle[[#This Row],[Cantidad]]*Fact_Ventas_Detalle[[#This Row],[Precio Unitario]])-Fact_Ventas_Detalle[[#This Row],[Descuento Linea]]</f>
        <v>527250</v>
      </c>
    </row>
    <row r="108" spans="1:11" x14ac:dyDescent="0.25">
      <c r="A108">
        <v>9</v>
      </c>
      <c r="B108" s="17" t="s">
        <v>62</v>
      </c>
      <c r="C108">
        <v>1</v>
      </c>
      <c r="D108" s="17" t="s">
        <v>31</v>
      </c>
      <c r="E108" s="17" t="s">
        <v>32</v>
      </c>
      <c r="F108" s="17" t="s">
        <v>33</v>
      </c>
      <c r="G108">
        <v>1</v>
      </c>
      <c r="H108">
        <v>25000</v>
      </c>
      <c r="I108">
        <v>11000</v>
      </c>
      <c r="J108">
        <v>2500</v>
      </c>
      <c r="K108" s="17">
        <f>(Fact_Ventas_Detalle[[#This Row],[Cantidad]]*Fact_Ventas_Detalle[[#This Row],[Precio Unitario]])-Fact_Ventas_Detalle[[#This Row],[Descuento Linea]]</f>
        <v>22500</v>
      </c>
    </row>
    <row r="109" spans="1:11" x14ac:dyDescent="0.25">
      <c r="A109">
        <v>9</v>
      </c>
      <c r="B109" s="17" t="s">
        <v>63</v>
      </c>
      <c r="C109">
        <v>1</v>
      </c>
      <c r="D109" s="17" t="s">
        <v>39</v>
      </c>
      <c r="E109" s="17" t="s">
        <v>40</v>
      </c>
      <c r="F109" s="17" t="s">
        <v>14</v>
      </c>
      <c r="G109">
        <v>1</v>
      </c>
      <c r="H109">
        <v>75000</v>
      </c>
      <c r="I109">
        <v>42000</v>
      </c>
      <c r="J109">
        <v>3750</v>
      </c>
      <c r="K109" s="17">
        <f>(Fact_Ventas_Detalle[[#This Row],[Cantidad]]*Fact_Ventas_Detalle[[#This Row],[Precio Unitario]])-Fact_Ventas_Detalle[[#This Row],[Descuento Linea]]</f>
        <v>71250</v>
      </c>
    </row>
    <row r="110" spans="1:11" x14ac:dyDescent="0.25">
      <c r="A110">
        <v>10</v>
      </c>
      <c r="B110" s="17" t="s">
        <v>690</v>
      </c>
      <c r="C110">
        <v>1</v>
      </c>
      <c r="D110" s="17" t="s">
        <v>12</v>
      </c>
      <c r="E110" s="17" t="s">
        <v>13</v>
      </c>
      <c r="F110" s="17" t="s">
        <v>14</v>
      </c>
      <c r="G110">
        <v>3</v>
      </c>
      <c r="H110">
        <v>280000</v>
      </c>
      <c r="I110">
        <v>190000</v>
      </c>
      <c r="J110">
        <v>0</v>
      </c>
      <c r="K110" s="17">
        <f>(Fact_Ventas_Detalle[[#This Row],[Cantidad]]*Fact_Ventas_Detalle[[#This Row],[Precio Unitario]])-Fact_Ventas_Detalle[[#This Row],[Descuento Linea]]</f>
        <v>840000</v>
      </c>
    </row>
    <row r="111" spans="1:11" x14ac:dyDescent="0.25">
      <c r="A111">
        <v>10</v>
      </c>
      <c r="B111" s="17" t="s">
        <v>62</v>
      </c>
      <c r="C111">
        <v>2</v>
      </c>
      <c r="D111" s="17" t="s">
        <v>27</v>
      </c>
      <c r="E111" s="17" t="s">
        <v>28</v>
      </c>
      <c r="F111" s="17" t="s">
        <v>29</v>
      </c>
      <c r="G111">
        <v>2</v>
      </c>
      <c r="H111">
        <v>240000</v>
      </c>
      <c r="I111">
        <v>150000</v>
      </c>
      <c r="J111">
        <v>0</v>
      </c>
      <c r="K111" s="17">
        <f>(Fact_Ventas_Detalle[[#This Row],[Cantidad]]*Fact_Ventas_Detalle[[#This Row],[Precio Unitario]])-Fact_Ventas_Detalle[[#This Row],[Descuento Linea]]</f>
        <v>480000</v>
      </c>
    </row>
    <row r="112" spans="1:11" x14ac:dyDescent="0.25">
      <c r="A112">
        <v>10</v>
      </c>
      <c r="B112" s="17" t="s">
        <v>55</v>
      </c>
      <c r="C112">
        <v>4</v>
      </c>
      <c r="D112" s="17" t="s">
        <v>24</v>
      </c>
      <c r="E112" s="17" t="s">
        <v>25</v>
      </c>
      <c r="F112" s="17" t="s">
        <v>14</v>
      </c>
      <c r="G112">
        <v>3</v>
      </c>
      <c r="H112">
        <v>850000</v>
      </c>
      <c r="I112">
        <v>620000</v>
      </c>
      <c r="J112">
        <v>127500</v>
      </c>
      <c r="K112" s="17">
        <f>(Fact_Ventas_Detalle[[#This Row],[Cantidad]]*Fact_Ventas_Detalle[[#This Row],[Precio Unitario]])-Fact_Ventas_Detalle[[#This Row],[Descuento Linea]]</f>
        <v>2422500</v>
      </c>
    </row>
    <row r="113" spans="1:11" x14ac:dyDescent="0.25">
      <c r="A113">
        <v>10</v>
      </c>
      <c r="B113" s="17" t="s">
        <v>59</v>
      </c>
      <c r="C113">
        <v>3</v>
      </c>
      <c r="D113" s="17" t="s">
        <v>31</v>
      </c>
      <c r="E113" s="17" t="s">
        <v>32</v>
      </c>
      <c r="F113" s="17" t="s">
        <v>33</v>
      </c>
      <c r="G113">
        <v>3</v>
      </c>
      <c r="H113">
        <v>25000</v>
      </c>
      <c r="I113">
        <v>11000</v>
      </c>
      <c r="J113">
        <v>7500</v>
      </c>
      <c r="K113" s="17">
        <f>(Fact_Ventas_Detalle[[#This Row],[Cantidad]]*Fact_Ventas_Detalle[[#This Row],[Precio Unitario]])-Fact_Ventas_Detalle[[#This Row],[Descuento Linea]]</f>
        <v>67500</v>
      </c>
    </row>
    <row r="114" spans="1:11" x14ac:dyDescent="0.25">
      <c r="A114">
        <v>10</v>
      </c>
      <c r="B114" s="17" t="s">
        <v>64</v>
      </c>
      <c r="C114">
        <v>2</v>
      </c>
      <c r="D114" s="17" t="s">
        <v>42</v>
      </c>
      <c r="E114" s="17" t="s">
        <v>43</v>
      </c>
      <c r="F114" s="17" t="s">
        <v>29</v>
      </c>
      <c r="G114">
        <v>2</v>
      </c>
      <c r="H114">
        <v>185000</v>
      </c>
      <c r="I114">
        <v>115000</v>
      </c>
      <c r="J114">
        <v>37000</v>
      </c>
      <c r="K114" s="17">
        <f>(Fact_Ventas_Detalle[[#This Row],[Cantidad]]*Fact_Ventas_Detalle[[#This Row],[Precio Unitario]])-Fact_Ventas_Detalle[[#This Row],[Descuento Linea]]</f>
        <v>333000</v>
      </c>
    </row>
    <row r="115" spans="1:11" x14ac:dyDescent="0.25">
      <c r="A115">
        <v>10</v>
      </c>
      <c r="B115" s="17" t="s">
        <v>65</v>
      </c>
      <c r="C115">
        <v>2</v>
      </c>
      <c r="D115" s="17" t="s">
        <v>31</v>
      </c>
      <c r="E115" s="17" t="s">
        <v>32</v>
      </c>
      <c r="F115" s="17" t="s">
        <v>33</v>
      </c>
      <c r="G115">
        <v>3</v>
      </c>
      <c r="H115">
        <v>25000</v>
      </c>
      <c r="I115">
        <v>11000</v>
      </c>
      <c r="J115">
        <v>7500</v>
      </c>
      <c r="K115" s="17">
        <f>(Fact_Ventas_Detalle[[#This Row],[Cantidad]]*Fact_Ventas_Detalle[[#This Row],[Precio Unitario]])-Fact_Ventas_Detalle[[#This Row],[Descuento Linea]]</f>
        <v>67500</v>
      </c>
    </row>
    <row r="116" spans="1:11" x14ac:dyDescent="0.25">
      <c r="A116">
        <v>10</v>
      </c>
      <c r="B116" s="17" t="s">
        <v>68</v>
      </c>
      <c r="C116">
        <v>1</v>
      </c>
      <c r="D116" s="17" t="s">
        <v>12</v>
      </c>
      <c r="E116" s="17" t="s">
        <v>13</v>
      </c>
      <c r="F116" s="17" t="s">
        <v>14</v>
      </c>
      <c r="G116">
        <v>2</v>
      </c>
      <c r="H116">
        <v>280000</v>
      </c>
      <c r="I116">
        <v>190000</v>
      </c>
      <c r="J116">
        <v>28000</v>
      </c>
      <c r="K116" s="17">
        <f>(Fact_Ventas_Detalle[[#This Row],[Cantidad]]*Fact_Ventas_Detalle[[#This Row],[Precio Unitario]])-Fact_Ventas_Detalle[[#This Row],[Descuento Linea]]</f>
        <v>532000</v>
      </c>
    </row>
    <row r="117" spans="1:11" x14ac:dyDescent="0.25">
      <c r="A117">
        <v>10</v>
      </c>
      <c r="B117" s="17" t="s">
        <v>67</v>
      </c>
      <c r="C117">
        <v>1</v>
      </c>
      <c r="D117" s="17" t="s">
        <v>17</v>
      </c>
      <c r="E117" s="17" t="s">
        <v>18</v>
      </c>
      <c r="F117" s="17" t="s">
        <v>19</v>
      </c>
      <c r="G117">
        <v>3</v>
      </c>
      <c r="H117">
        <v>65000</v>
      </c>
      <c r="I117">
        <v>35000</v>
      </c>
      <c r="J117">
        <v>9750</v>
      </c>
      <c r="K117" s="17">
        <f>(Fact_Ventas_Detalle[[#This Row],[Cantidad]]*Fact_Ventas_Detalle[[#This Row],[Precio Unitario]])-Fact_Ventas_Detalle[[#This Row],[Descuento Linea]]</f>
        <v>185250</v>
      </c>
    </row>
    <row r="118" spans="1:11" x14ac:dyDescent="0.25">
      <c r="A118">
        <v>10</v>
      </c>
      <c r="B118" s="17" t="s">
        <v>682</v>
      </c>
      <c r="C118">
        <v>1</v>
      </c>
      <c r="D118" s="17" t="s">
        <v>17</v>
      </c>
      <c r="E118" s="17" t="s">
        <v>18</v>
      </c>
      <c r="F118" s="17" t="s">
        <v>19</v>
      </c>
      <c r="G118">
        <v>3</v>
      </c>
      <c r="H118">
        <v>65000</v>
      </c>
      <c r="I118">
        <v>35000</v>
      </c>
      <c r="J118">
        <v>9750</v>
      </c>
      <c r="K118" s="17">
        <f>(Fact_Ventas_Detalle[[#This Row],[Cantidad]]*Fact_Ventas_Detalle[[#This Row],[Precio Unitario]])-Fact_Ventas_Detalle[[#This Row],[Descuento Linea]]</f>
        <v>185250</v>
      </c>
    </row>
    <row r="119" spans="1:11" x14ac:dyDescent="0.25">
      <c r="A119">
        <v>10</v>
      </c>
      <c r="B119" s="17" t="s">
        <v>628</v>
      </c>
      <c r="C119">
        <v>1</v>
      </c>
      <c r="D119" s="17" t="s">
        <v>37</v>
      </c>
      <c r="E119" s="17" t="s">
        <v>38</v>
      </c>
      <c r="F119" s="17" t="s">
        <v>33</v>
      </c>
      <c r="G119">
        <v>3</v>
      </c>
      <c r="H119">
        <v>45000</v>
      </c>
      <c r="I119">
        <v>22000</v>
      </c>
      <c r="J119">
        <v>6750</v>
      </c>
      <c r="K119" s="17">
        <f>(Fact_Ventas_Detalle[[#This Row],[Cantidad]]*Fact_Ventas_Detalle[[#This Row],[Precio Unitario]])-Fact_Ventas_Detalle[[#This Row],[Descuento Linea]]</f>
        <v>128250</v>
      </c>
    </row>
    <row r="120" spans="1:11" x14ac:dyDescent="0.25">
      <c r="A120">
        <v>10</v>
      </c>
      <c r="B120" s="17" t="s">
        <v>66</v>
      </c>
      <c r="C120">
        <v>1</v>
      </c>
      <c r="D120" s="17" t="s">
        <v>37</v>
      </c>
      <c r="E120" s="17" t="s">
        <v>38</v>
      </c>
      <c r="F120" s="17" t="s">
        <v>33</v>
      </c>
      <c r="G120">
        <v>1</v>
      </c>
      <c r="H120">
        <v>45000</v>
      </c>
      <c r="I120">
        <v>22000</v>
      </c>
      <c r="J120">
        <v>4500</v>
      </c>
      <c r="K120" s="17">
        <f>(Fact_Ventas_Detalle[[#This Row],[Cantidad]]*Fact_Ventas_Detalle[[#This Row],[Precio Unitario]])-Fact_Ventas_Detalle[[#This Row],[Descuento Linea]]</f>
        <v>40500</v>
      </c>
    </row>
    <row r="121" spans="1:11" x14ac:dyDescent="0.25">
      <c r="A121">
        <v>10</v>
      </c>
      <c r="B121" s="17" t="s">
        <v>625</v>
      </c>
      <c r="C121">
        <v>1</v>
      </c>
      <c r="D121" s="17" t="s">
        <v>27</v>
      </c>
      <c r="E121" s="17" t="s">
        <v>28</v>
      </c>
      <c r="F121" s="17" t="s">
        <v>29</v>
      </c>
      <c r="G121">
        <v>1</v>
      </c>
      <c r="H121">
        <v>240000</v>
      </c>
      <c r="I121">
        <v>150000</v>
      </c>
      <c r="J121">
        <v>24000</v>
      </c>
      <c r="K121" s="17">
        <f>(Fact_Ventas_Detalle[[#This Row],[Cantidad]]*Fact_Ventas_Detalle[[#This Row],[Precio Unitario]])-Fact_Ventas_Detalle[[#This Row],[Descuento Linea]]</f>
        <v>216000</v>
      </c>
    </row>
    <row r="122" spans="1:11" x14ac:dyDescent="0.25">
      <c r="A122">
        <v>11</v>
      </c>
      <c r="B122" s="17" t="s">
        <v>69</v>
      </c>
      <c r="C122">
        <v>1</v>
      </c>
      <c r="D122" s="17" t="s">
        <v>27</v>
      </c>
      <c r="E122" s="17" t="s">
        <v>28</v>
      </c>
      <c r="F122" s="17" t="s">
        <v>29</v>
      </c>
      <c r="G122">
        <v>2</v>
      </c>
      <c r="H122">
        <v>240000</v>
      </c>
      <c r="I122">
        <v>150000</v>
      </c>
      <c r="J122">
        <v>0</v>
      </c>
      <c r="K122" s="17">
        <f>(Fact_Ventas_Detalle[[#This Row],[Cantidad]]*Fact_Ventas_Detalle[[#This Row],[Precio Unitario]])-Fact_Ventas_Detalle[[#This Row],[Descuento Linea]]</f>
        <v>480000</v>
      </c>
    </row>
    <row r="123" spans="1:11" x14ac:dyDescent="0.25">
      <c r="A123">
        <v>11</v>
      </c>
      <c r="B123" s="17" t="s">
        <v>418</v>
      </c>
      <c r="C123">
        <v>1</v>
      </c>
      <c r="D123" s="17" t="s">
        <v>37</v>
      </c>
      <c r="E123" s="17" t="s">
        <v>38</v>
      </c>
      <c r="F123" s="17" t="s">
        <v>33</v>
      </c>
      <c r="G123">
        <v>2</v>
      </c>
      <c r="H123">
        <v>45000</v>
      </c>
      <c r="I123">
        <v>22000</v>
      </c>
      <c r="J123">
        <v>0</v>
      </c>
      <c r="K123" s="17">
        <f>(Fact_Ventas_Detalle[[#This Row],[Cantidad]]*Fact_Ventas_Detalle[[#This Row],[Precio Unitario]])-Fact_Ventas_Detalle[[#This Row],[Descuento Linea]]</f>
        <v>90000</v>
      </c>
    </row>
    <row r="124" spans="1:11" x14ac:dyDescent="0.25">
      <c r="A124">
        <v>11</v>
      </c>
      <c r="B124" s="17" t="s">
        <v>66</v>
      </c>
      <c r="C124">
        <v>2</v>
      </c>
      <c r="D124" s="17" t="s">
        <v>37</v>
      </c>
      <c r="E124" s="17" t="s">
        <v>38</v>
      </c>
      <c r="F124" s="17" t="s">
        <v>33</v>
      </c>
      <c r="G124">
        <v>1</v>
      </c>
      <c r="H124">
        <v>45000</v>
      </c>
      <c r="I124">
        <v>22000</v>
      </c>
      <c r="J124">
        <v>0</v>
      </c>
      <c r="K124" s="17">
        <f>(Fact_Ventas_Detalle[[#This Row],[Cantidad]]*Fact_Ventas_Detalle[[#This Row],[Precio Unitario]])-Fact_Ventas_Detalle[[#This Row],[Descuento Linea]]</f>
        <v>45000</v>
      </c>
    </row>
    <row r="125" spans="1:11" x14ac:dyDescent="0.25">
      <c r="A125">
        <v>11</v>
      </c>
      <c r="B125" s="17" t="s">
        <v>628</v>
      </c>
      <c r="C125">
        <v>2</v>
      </c>
      <c r="D125" s="17" t="s">
        <v>42</v>
      </c>
      <c r="E125" s="17" t="s">
        <v>43</v>
      </c>
      <c r="F125" s="17" t="s">
        <v>29</v>
      </c>
      <c r="G125">
        <v>3</v>
      </c>
      <c r="H125">
        <v>185000</v>
      </c>
      <c r="I125">
        <v>115000</v>
      </c>
      <c r="J125">
        <v>0</v>
      </c>
      <c r="K125" s="17">
        <f>(Fact_Ventas_Detalle[[#This Row],[Cantidad]]*Fact_Ventas_Detalle[[#This Row],[Precio Unitario]])-Fact_Ventas_Detalle[[#This Row],[Descuento Linea]]</f>
        <v>555000</v>
      </c>
    </row>
    <row r="126" spans="1:11" x14ac:dyDescent="0.25">
      <c r="A126">
        <v>11</v>
      </c>
      <c r="B126" s="17" t="s">
        <v>65</v>
      </c>
      <c r="C126">
        <v>3</v>
      </c>
      <c r="D126" s="17" t="s">
        <v>31</v>
      </c>
      <c r="E126" s="17" t="s">
        <v>32</v>
      </c>
      <c r="F126" s="17" t="s">
        <v>33</v>
      </c>
      <c r="G126">
        <v>1</v>
      </c>
      <c r="H126">
        <v>25000</v>
      </c>
      <c r="I126">
        <v>11000</v>
      </c>
      <c r="J126">
        <v>0</v>
      </c>
      <c r="K126" s="17">
        <f>(Fact_Ventas_Detalle[[#This Row],[Cantidad]]*Fact_Ventas_Detalle[[#This Row],[Precio Unitario]])-Fact_Ventas_Detalle[[#This Row],[Descuento Linea]]</f>
        <v>25000</v>
      </c>
    </row>
    <row r="127" spans="1:11" x14ac:dyDescent="0.25">
      <c r="A127">
        <v>11</v>
      </c>
      <c r="B127" s="17" t="s">
        <v>64</v>
      </c>
      <c r="C127">
        <v>3</v>
      </c>
      <c r="D127" s="17" t="s">
        <v>24</v>
      </c>
      <c r="E127" s="17" t="s">
        <v>25</v>
      </c>
      <c r="F127" s="17" t="s">
        <v>14</v>
      </c>
      <c r="G127">
        <v>1</v>
      </c>
      <c r="H127">
        <v>850000</v>
      </c>
      <c r="I127">
        <v>620000</v>
      </c>
      <c r="J127">
        <v>42500</v>
      </c>
      <c r="K127" s="17">
        <f>(Fact_Ventas_Detalle[[#This Row],[Cantidad]]*Fact_Ventas_Detalle[[#This Row],[Precio Unitario]])-Fact_Ventas_Detalle[[#This Row],[Descuento Linea]]</f>
        <v>807500</v>
      </c>
    </row>
    <row r="128" spans="1:11" x14ac:dyDescent="0.25">
      <c r="A128">
        <v>11</v>
      </c>
      <c r="B128" s="17" t="s">
        <v>67</v>
      </c>
      <c r="C128">
        <v>2</v>
      </c>
      <c r="D128" s="17" t="s">
        <v>42</v>
      </c>
      <c r="E128" s="17" t="s">
        <v>43</v>
      </c>
      <c r="F128" s="17" t="s">
        <v>29</v>
      </c>
      <c r="G128">
        <v>3</v>
      </c>
      <c r="H128">
        <v>185000</v>
      </c>
      <c r="I128">
        <v>115000</v>
      </c>
      <c r="J128">
        <v>27750</v>
      </c>
      <c r="K128" s="17">
        <f>(Fact_Ventas_Detalle[[#This Row],[Cantidad]]*Fact_Ventas_Detalle[[#This Row],[Precio Unitario]])-Fact_Ventas_Detalle[[#This Row],[Descuento Linea]]</f>
        <v>527250</v>
      </c>
    </row>
    <row r="129" spans="1:11" x14ac:dyDescent="0.25">
      <c r="A129">
        <v>11</v>
      </c>
      <c r="B129" s="17" t="s">
        <v>68</v>
      </c>
      <c r="C129">
        <v>2</v>
      </c>
      <c r="D129" s="17" t="s">
        <v>42</v>
      </c>
      <c r="E129" s="17" t="s">
        <v>43</v>
      </c>
      <c r="F129" s="17" t="s">
        <v>29</v>
      </c>
      <c r="G129">
        <v>2</v>
      </c>
      <c r="H129">
        <v>185000</v>
      </c>
      <c r="I129">
        <v>115000</v>
      </c>
      <c r="J129">
        <v>18500</v>
      </c>
      <c r="K129" s="17">
        <f>(Fact_Ventas_Detalle[[#This Row],[Cantidad]]*Fact_Ventas_Detalle[[#This Row],[Precio Unitario]])-Fact_Ventas_Detalle[[#This Row],[Descuento Linea]]</f>
        <v>351500</v>
      </c>
    </row>
    <row r="130" spans="1:11" x14ac:dyDescent="0.25">
      <c r="A130">
        <v>11</v>
      </c>
      <c r="B130" s="17" t="s">
        <v>625</v>
      </c>
      <c r="C130">
        <v>2</v>
      </c>
      <c r="D130" s="17" t="s">
        <v>24</v>
      </c>
      <c r="E130" s="17" t="s">
        <v>25</v>
      </c>
      <c r="F130" s="17" t="s">
        <v>14</v>
      </c>
      <c r="G130">
        <v>1</v>
      </c>
      <c r="H130">
        <v>850000</v>
      </c>
      <c r="I130">
        <v>620000</v>
      </c>
      <c r="J130">
        <v>42500</v>
      </c>
      <c r="K130" s="17">
        <f>(Fact_Ventas_Detalle[[#This Row],[Cantidad]]*Fact_Ventas_Detalle[[#This Row],[Precio Unitario]])-Fact_Ventas_Detalle[[#This Row],[Descuento Linea]]</f>
        <v>807500</v>
      </c>
    </row>
    <row r="131" spans="1:11" x14ac:dyDescent="0.25">
      <c r="A131">
        <v>11</v>
      </c>
      <c r="B131" s="17" t="s">
        <v>404</v>
      </c>
      <c r="C131">
        <v>1</v>
      </c>
      <c r="D131" s="17" t="s">
        <v>31</v>
      </c>
      <c r="E131" s="17" t="s">
        <v>32</v>
      </c>
      <c r="F131" s="17" t="s">
        <v>33</v>
      </c>
      <c r="G131">
        <v>2</v>
      </c>
      <c r="H131">
        <v>25000</v>
      </c>
      <c r="I131">
        <v>11000</v>
      </c>
      <c r="J131">
        <v>5000</v>
      </c>
      <c r="K131" s="17">
        <f>(Fact_Ventas_Detalle[[#This Row],[Cantidad]]*Fact_Ventas_Detalle[[#This Row],[Precio Unitario]])-Fact_Ventas_Detalle[[#This Row],[Descuento Linea]]</f>
        <v>45000</v>
      </c>
    </row>
    <row r="132" spans="1:11" x14ac:dyDescent="0.25">
      <c r="A132">
        <v>11</v>
      </c>
      <c r="B132" s="17" t="s">
        <v>70</v>
      </c>
      <c r="C132">
        <v>1</v>
      </c>
      <c r="D132" s="17" t="s">
        <v>31</v>
      </c>
      <c r="E132" s="17" t="s">
        <v>32</v>
      </c>
      <c r="F132" s="17" t="s">
        <v>33</v>
      </c>
      <c r="G132">
        <v>3</v>
      </c>
      <c r="H132">
        <v>25000</v>
      </c>
      <c r="I132">
        <v>11000</v>
      </c>
      <c r="J132">
        <v>3750</v>
      </c>
      <c r="K132" s="17">
        <f>(Fact_Ventas_Detalle[[#This Row],[Cantidad]]*Fact_Ventas_Detalle[[#This Row],[Precio Unitario]])-Fact_Ventas_Detalle[[#This Row],[Descuento Linea]]</f>
        <v>71250</v>
      </c>
    </row>
    <row r="133" spans="1:11" x14ac:dyDescent="0.25">
      <c r="A133">
        <v>11</v>
      </c>
      <c r="B133" s="17" t="s">
        <v>71</v>
      </c>
      <c r="C133">
        <v>1</v>
      </c>
      <c r="D133" s="17" t="s">
        <v>12</v>
      </c>
      <c r="E133" s="17" t="s">
        <v>13</v>
      </c>
      <c r="F133" s="17" t="s">
        <v>14</v>
      </c>
      <c r="G133">
        <v>1</v>
      </c>
      <c r="H133">
        <v>280000</v>
      </c>
      <c r="I133">
        <v>190000</v>
      </c>
      <c r="J133">
        <v>14000</v>
      </c>
      <c r="K133" s="17">
        <f>(Fact_Ventas_Detalle[[#This Row],[Cantidad]]*Fact_Ventas_Detalle[[#This Row],[Precio Unitario]])-Fact_Ventas_Detalle[[#This Row],[Descuento Linea]]</f>
        <v>266000</v>
      </c>
    </row>
    <row r="134" spans="1:11" x14ac:dyDescent="0.25">
      <c r="A134">
        <v>12</v>
      </c>
      <c r="B134" s="17" t="s">
        <v>466</v>
      </c>
      <c r="C134">
        <v>1</v>
      </c>
      <c r="D134" s="17" t="s">
        <v>31</v>
      </c>
      <c r="E134" s="17" t="s">
        <v>32</v>
      </c>
      <c r="F134" s="17" t="s">
        <v>33</v>
      </c>
      <c r="G134">
        <v>3</v>
      </c>
      <c r="H134">
        <v>25000</v>
      </c>
      <c r="I134">
        <v>11000</v>
      </c>
      <c r="J134">
        <v>0</v>
      </c>
      <c r="K134" s="17">
        <f>(Fact_Ventas_Detalle[[#This Row],[Cantidad]]*Fact_Ventas_Detalle[[#This Row],[Precio Unitario]])-Fact_Ventas_Detalle[[#This Row],[Descuento Linea]]</f>
        <v>75000</v>
      </c>
    </row>
    <row r="135" spans="1:11" x14ac:dyDescent="0.25">
      <c r="A135">
        <v>12</v>
      </c>
      <c r="B135" s="17" t="s">
        <v>72</v>
      </c>
      <c r="C135">
        <v>1</v>
      </c>
      <c r="D135" s="17" t="s">
        <v>37</v>
      </c>
      <c r="E135" s="17" t="s">
        <v>38</v>
      </c>
      <c r="F135" s="17" t="s">
        <v>33</v>
      </c>
      <c r="G135">
        <v>2</v>
      </c>
      <c r="H135">
        <v>45000</v>
      </c>
      <c r="I135">
        <v>22000</v>
      </c>
      <c r="J135">
        <v>0</v>
      </c>
      <c r="K135" s="17">
        <f>(Fact_Ventas_Detalle[[#This Row],[Cantidad]]*Fact_Ventas_Detalle[[#This Row],[Precio Unitario]])-Fact_Ventas_Detalle[[#This Row],[Descuento Linea]]</f>
        <v>90000</v>
      </c>
    </row>
    <row r="136" spans="1:11" x14ac:dyDescent="0.25">
      <c r="A136">
        <v>12</v>
      </c>
      <c r="B136" s="17" t="s">
        <v>73</v>
      </c>
      <c r="C136">
        <v>1</v>
      </c>
      <c r="D136" s="17" t="s">
        <v>31</v>
      </c>
      <c r="E136" s="17" t="s">
        <v>32</v>
      </c>
      <c r="F136" s="17" t="s">
        <v>33</v>
      </c>
      <c r="G136">
        <v>2</v>
      </c>
      <c r="H136">
        <v>25000</v>
      </c>
      <c r="I136">
        <v>11000</v>
      </c>
      <c r="J136">
        <v>0</v>
      </c>
      <c r="K136" s="17">
        <f>(Fact_Ventas_Detalle[[#This Row],[Cantidad]]*Fact_Ventas_Detalle[[#This Row],[Precio Unitario]])-Fact_Ventas_Detalle[[#This Row],[Descuento Linea]]</f>
        <v>50000</v>
      </c>
    </row>
    <row r="137" spans="1:11" x14ac:dyDescent="0.25">
      <c r="A137">
        <v>12</v>
      </c>
      <c r="B137" s="17" t="s">
        <v>71</v>
      </c>
      <c r="C137">
        <v>2</v>
      </c>
      <c r="D137" s="17" t="s">
        <v>31</v>
      </c>
      <c r="E137" s="17" t="s">
        <v>32</v>
      </c>
      <c r="F137" s="17" t="s">
        <v>33</v>
      </c>
      <c r="G137">
        <v>1</v>
      </c>
      <c r="H137">
        <v>25000</v>
      </c>
      <c r="I137">
        <v>11000</v>
      </c>
      <c r="J137">
        <v>0</v>
      </c>
      <c r="K137" s="17">
        <f>(Fact_Ventas_Detalle[[#This Row],[Cantidad]]*Fact_Ventas_Detalle[[#This Row],[Precio Unitario]])-Fact_Ventas_Detalle[[#This Row],[Descuento Linea]]</f>
        <v>25000</v>
      </c>
    </row>
    <row r="138" spans="1:11" x14ac:dyDescent="0.25">
      <c r="A138">
        <v>12</v>
      </c>
      <c r="B138" s="17" t="s">
        <v>404</v>
      </c>
      <c r="C138">
        <v>2</v>
      </c>
      <c r="D138" s="17" t="s">
        <v>31</v>
      </c>
      <c r="E138" s="17" t="s">
        <v>32</v>
      </c>
      <c r="F138" s="17" t="s">
        <v>33</v>
      </c>
      <c r="G138">
        <v>1</v>
      </c>
      <c r="H138">
        <v>25000</v>
      </c>
      <c r="I138">
        <v>11000</v>
      </c>
      <c r="J138">
        <v>0</v>
      </c>
      <c r="K138" s="17">
        <f>(Fact_Ventas_Detalle[[#This Row],[Cantidad]]*Fact_Ventas_Detalle[[#This Row],[Precio Unitario]])-Fact_Ventas_Detalle[[#This Row],[Descuento Linea]]</f>
        <v>25000</v>
      </c>
    </row>
    <row r="139" spans="1:11" x14ac:dyDescent="0.25">
      <c r="A139">
        <v>12</v>
      </c>
      <c r="B139" s="17" t="s">
        <v>625</v>
      </c>
      <c r="C139">
        <v>3</v>
      </c>
      <c r="D139" s="17" t="s">
        <v>12</v>
      </c>
      <c r="E139" s="17" t="s">
        <v>13</v>
      </c>
      <c r="F139" s="17" t="s">
        <v>14</v>
      </c>
      <c r="G139">
        <v>3</v>
      </c>
      <c r="H139">
        <v>280000</v>
      </c>
      <c r="I139">
        <v>190000</v>
      </c>
      <c r="J139">
        <v>0</v>
      </c>
      <c r="K139" s="17">
        <f>(Fact_Ventas_Detalle[[#This Row],[Cantidad]]*Fact_Ventas_Detalle[[#This Row],[Precio Unitario]])-Fact_Ventas_Detalle[[#This Row],[Descuento Linea]]</f>
        <v>840000</v>
      </c>
    </row>
    <row r="140" spans="1:11" x14ac:dyDescent="0.25">
      <c r="A140">
        <v>12</v>
      </c>
      <c r="B140" s="17" t="s">
        <v>66</v>
      </c>
      <c r="C140">
        <v>3</v>
      </c>
      <c r="D140" s="17" t="s">
        <v>12</v>
      </c>
      <c r="E140" s="17" t="s">
        <v>13</v>
      </c>
      <c r="F140" s="17" t="s">
        <v>14</v>
      </c>
      <c r="G140">
        <v>3</v>
      </c>
      <c r="H140">
        <v>280000</v>
      </c>
      <c r="I140">
        <v>190000</v>
      </c>
      <c r="J140">
        <v>84000</v>
      </c>
      <c r="K140" s="17">
        <f>(Fact_Ventas_Detalle[[#This Row],[Cantidad]]*Fact_Ventas_Detalle[[#This Row],[Precio Unitario]])-Fact_Ventas_Detalle[[#This Row],[Descuento Linea]]</f>
        <v>756000</v>
      </c>
    </row>
    <row r="141" spans="1:11" x14ac:dyDescent="0.25">
      <c r="A141">
        <v>12</v>
      </c>
      <c r="B141" s="17" t="s">
        <v>68</v>
      </c>
      <c r="C141">
        <v>3</v>
      </c>
      <c r="D141" s="17" t="s">
        <v>12</v>
      </c>
      <c r="E141" s="17" t="s">
        <v>13</v>
      </c>
      <c r="F141" s="17" t="s">
        <v>14</v>
      </c>
      <c r="G141">
        <v>3</v>
      </c>
      <c r="H141">
        <v>280000</v>
      </c>
      <c r="I141">
        <v>190000</v>
      </c>
      <c r="J141">
        <v>84000</v>
      </c>
      <c r="K141" s="17">
        <f>(Fact_Ventas_Detalle[[#This Row],[Cantidad]]*Fact_Ventas_Detalle[[#This Row],[Precio Unitario]])-Fact_Ventas_Detalle[[#This Row],[Descuento Linea]]</f>
        <v>756000</v>
      </c>
    </row>
    <row r="142" spans="1:11" x14ac:dyDescent="0.25">
      <c r="A142">
        <v>12</v>
      </c>
      <c r="B142" s="17" t="s">
        <v>418</v>
      </c>
      <c r="C142">
        <v>2</v>
      </c>
      <c r="D142" s="17" t="s">
        <v>27</v>
      </c>
      <c r="E142" s="17" t="s">
        <v>28</v>
      </c>
      <c r="F142" s="17" t="s">
        <v>29</v>
      </c>
      <c r="G142">
        <v>1</v>
      </c>
      <c r="H142">
        <v>240000</v>
      </c>
      <c r="I142">
        <v>150000</v>
      </c>
      <c r="J142">
        <v>24000</v>
      </c>
      <c r="K142" s="17">
        <f>(Fact_Ventas_Detalle[[#This Row],[Cantidad]]*Fact_Ventas_Detalle[[#This Row],[Precio Unitario]])-Fact_Ventas_Detalle[[#This Row],[Descuento Linea]]</f>
        <v>216000</v>
      </c>
    </row>
    <row r="143" spans="1:11" x14ac:dyDescent="0.25">
      <c r="A143">
        <v>12</v>
      </c>
      <c r="B143" s="17" t="s">
        <v>76</v>
      </c>
      <c r="C143">
        <v>1</v>
      </c>
      <c r="D143" s="17" t="s">
        <v>17</v>
      </c>
      <c r="E143" s="17" t="s">
        <v>18</v>
      </c>
      <c r="F143" s="17" t="s">
        <v>19</v>
      </c>
      <c r="G143">
        <v>2</v>
      </c>
      <c r="H143">
        <v>65000</v>
      </c>
      <c r="I143">
        <v>35000</v>
      </c>
      <c r="J143">
        <v>6500</v>
      </c>
      <c r="K143" s="17">
        <f>(Fact_Ventas_Detalle[[#This Row],[Cantidad]]*Fact_Ventas_Detalle[[#This Row],[Precio Unitario]])-Fact_Ventas_Detalle[[#This Row],[Descuento Linea]]</f>
        <v>123500</v>
      </c>
    </row>
    <row r="144" spans="1:11" x14ac:dyDescent="0.25">
      <c r="A144">
        <v>12</v>
      </c>
      <c r="B144" s="17" t="s">
        <v>74</v>
      </c>
      <c r="C144">
        <v>1</v>
      </c>
      <c r="D144" s="17" t="s">
        <v>12</v>
      </c>
      <c r="E144" s="17" t="s">
        <v>13</v>
      </c>
      <c r="F144" s="17" t="s">
        <v>14</v>
      </c>
      <c r="G144">
        <v>3</v>
      </c>
      <c r="H144">
        <v>280000</v>
      </c>
      <c r="I144">
        <v>190000</v>
      </c>
      <c r="J144">
        <v>42000</v>
      </c>
      <c r="K144" s="17">
        <f>(Fact_Ventas_Detalle[[#This Row],[Cantidad]]*Fact_Ventas_Detalle[[#This Row],[Precio Unitario]])-Fact_Ventas_Detalle[[#This Row],[Descuento Linea]]</f>
        <v>798000</v>
      </c>
    </row>
    <row r="145" spans="1:11" x14ac:dyDescent="0.25">
      <c r="A145">
        <v>12</v>
      </c>
      <c r="B145" s="17" t="s">
        <v>75</v>
      </c>
      <c r="C145">
        <v>1</v>
      </c>
      <c r="D145" s="17" t="s">
        <v>39</v>
      </c>
      <c r="E145" s="17" t="s">
        <v>40</v>
      </c>
      <c r="F145" s="17" t="s">
        <v>14</v>
      </c>
      <c r="G145">
        <v>3</v>
      </c>
      <c r="H145">
        <v>75000</v>
      </c>
      <c r="I145">
        <v>42000</v>
      </c>
      <c r="J145">
        <v>11250</v>
      </c>
      <c r="K145" s="17">
        <f>(Fact_Ventas_Detalle[[#This Row],[Cantidad]]*Fact_Ventas_Detalle[[#This Row],[Precio Unitario]])-Fact_Ventas_Detalle[[#This Row],[Descuento Linea]]</f>
        <v>213750</v>
      </c>
    </row>
    <row r="146" spans="1:11" x14ac:dyDescent="0.25">
      <c r="A146">
        <v>13</v>
      </c>
      <c r="B146" s="17" t="s">
        <v>77</v>
      </c>
      <c r="C146">
        <v>1</v>
      </c>
      <c r="D146" s="17" t="s">
        <v>27</v>
      </c>
      <c r="E146" s="17" t="s">
        <v>28</v>
      </c>
      <c r="F146" s="17" t="s">
        <v>29</v>
      </c>
      <c r="G146">
        <v>1</v>
      </c>
      <c r="H146">
        <v>240000</v>
      </c>
      <c r="I146">
        <v>150000</v>
      </c>
      <c r="J146">
        <v>0</v>
      </c>
      <c r="K146" s="17">
        <f>(Fact_Ventas_Detalle[[#This Row],[Cantidad]]*Fact_Ventas_Detalle[[#This Row],[Precio Unitario]])-Fact_Ventas_Detalle[[#This Row],[Descuento Linea]]</f>
        <v>240000</v>
      </c>
    </row>
    <row r="147" spans="1:11" x14ac:dyDescent="0.25">
      <c r="A147">
        <v>13</v>
      </c>
      <c r="B147" s="17" t="s">
        <v>71</v>
      </c>
      <c r="C147">
        <v>3</v>
      </c>
      <c r="D147" s="17" t="s">
        <v>24</v>
      </c>
      <c r="E147" s="17" t="s">
        <v>25</v>
      </c>
      <c r="F147" s="17" t="s">
        <v>14</v>
      </c>
      <c r="G147">
        <v>1</v>
      </c>
      <c r="H147">
        <v>850000</v>
      </c>
      <c r="I147">
        <v>620000</v>
      </c>
      <c r="J147">
        <v>0</v>
      </c>
      <c r="K147" s="17">
        <f>(Fact_Ventas_Detalle[[#This Row],[Cantidad]]*Fact_Ventas_Detalle[[#This Row],[Precio Unitario]])-Fact_Ventas_Detalle[[#This Row],[Descuento Linea]]</f>
        <v>850000</v>
      </c>
    </row>
    <row r="148" spans="1:11" x14ac:dyDescent="0.25">
      <c r="A148">
        <v>13</v>
      </c>
      <c r="B148" s="17" t="s">
        <v>418</v>
      </c>
      <c r="C148">
        <v>3</v>
      </c>
      <c r="D148" s="17" t="s">
        <v>39</v>
      </c>
      <c r="E148" s="17" t="s">
        <v>40</v>
      </c>
      <c r="F148" s="17" t="s">
        <v>14</v>
      </c>
      <c r="G148">
        <v>3</v>
      </c>
      <c r="H148">
        <v>75000</v>
      </c>
      <c r="I148">
        <v>42000</v>
      </c>
      <c r="J148">
        <v>0</v>
      </c>
      <c r="K148" s="17">
        <f>(Fact_Ventas_Detalle[[#This Row],[Cantidad]]*Fact_Ventas_Detalle[[#This Row],[Precio Unitario]])-Fact_Ventas_Detalle[[#This Row],[Descuento Linea]]</f>
        <v>225000</v>
      </c>
    </row>
    <row r="149" spans="1:11" x14ac:dyDescent="0.25">
      <c r="A149">
        <v>13</v>
      </c>
      <c r="B149" s="17" t="s">
        <v>66</v>
      </c>
      <c r="C149">
        <v>4</v>
      </c>
      <c r="D149" s="17" t="s">
        <v>31</v>
      </c>
      <c r="E149" s="17" t="s">
        <v>32</v>
      </c>
      <c r="F149" s="17" t="s">
        <v>33</v>
      </c>
      <c r="G149">
        <v>2</v>
      </c>
      <c r="H149">
        <v>25000</v>
      </c>
      <c r="I149">
        <v>11000</v>
      </c>
      <c r="J149">
        <v>0</v>
      </c>
      <c r="K149" s="17">
        <f>(Fact_Ventas_Detalle[[#This Row],[Cantidad]]*Fact_Ventas_Detalle[[#This Row],[Precio Unitario]])-Fact_Ventas_Detalle[[#This Row],[Descuento Linea]]</f>
        <v>50000</v>
      </c>
    </row>
    <row r="150" spans="1:11" x14ac:dyDescent="0.25">
      <c r="A150">
        <v>13</v>
      </c>
      <c r="B150" s="17" t="s">
        <v>625</v>
      </c>
      <c r="C150">
        <v>4</v>
      </c>
      <c r="D150" s="17" t="s">
        <v>42</v>
      </c>
      <c r="E150" s="17" t="s">
        <v>43</v>
      </c>
      <c r="F150" s="17" t="s">
        <v>29</v>
      </c>
      <c r="G150">
        <v>1</v>
      </c>
      <c r="H150">
        <v>185000</v>
      </c>
      <c r="I150">
        <v>115000</v>
      </c>
      <c r="J150">
        <v>0</v>
      </c>
      <c r="K150" s="17">
        <f>(Fact_Ventas_Detalle[[#This Row],[Cantidad]]*Fact_Ventas_Detalle[[#This Row],[Precio Unitario]])-Fact_Ventas_Detalle[[#This Row],[Descuento Linea]]</f>
        <v>185000</v>
      </c>
    </row>
    <row r="151" spans="1:11" x14ac:dyDescent="0.25">
      <c r="A151">
        <v>13</v>
      </c>
      <c r="B151" s="17" t="s">
        <v>404</v>
      </c>
      <c r="C151">
        <v>3</v>
      </c>
      <c r="D151" s="17" t="s">
        <v>39</v>
      </c>
      <c r="E151" s="17" t="s">
        <v>40</v>
      </c>
      <c r="F151" s="17" t="s">
        <v>14</v>
      </c>
      <c r="G151">
        <v>1</v>
      </c>
      <c r="H151">
        <v>75000</v>
      </c>
      <c r="I151">
        <v>42000</v>
      </c>
      <c r="J151">
        <v>3750</v>
      </c>
      <c r="K151" s="17">
        <f>(Fact_Ventas_Detalle[[#This Row],[Cantidad]]*Fact_Ventas_Detalle[[#This Row],[Precio Unitario]])-Fact_Ventas_Detalle[[#This Row],[Descuento Linea]]</f>
        <v>71250</v>
      </c>
    </row>
    <row r="152" spans="1:11" x14ac:dyDescent="0.25">
      <c r="A152">
        <v>13</v>
      </c>
      <c r="B152" s="17" t="s">
        <v>72</v>
      </c>
      <c r="C152">
        <v>2</v>
      </c>
      <c r="D152" s="17" t="s">
        <v>31</v>
      </c>
      <c r="E152" s="17" t="s">
        <v>32</v>
      </c>
      <c r="F152" s="17" t="s">
        <v>33</v>
      </c>
      <c r="G152">
        <v>3</v>
      </c>
      <c r="H152">
        <v>25000</v>
      </c>
      <c r="I152">
        <v>11000</v>
      </c>
      <c r="J152">
        <v>3750</v>
      </c>
      <c r="K152" s="17">
        <f>(Fact_Ventas_Detalle[[#This Row],[Cantidad]]*Fact_Ventas_Detalle[[#This Row],[Precio Unitario]])-Fact_Ventas_Detalle[[#This Row],[Descuento Linea]]</f>
        <v>71250</v>
      </c>
    </row>
    <row r="153" spans="1:11" x14ac:dyDescent="0.25">
      <c r="A153">
        <v>13</v>
      </c>
      <c r="B153" s="17" t="s">
        <v>74</v>
      </c>
      <c r="C153">
        <v>2</v>
      </c>
      <c r="D153" s="17" t="s">
        <v>37</v>
      </c>
      <c r="E153" s="17" t="s">
        <v>38</v>
      </c>
      <c r="F153" s="17" t="s">
        <v>33</v>
      </c>
      <c r="G153">
        <v>1</v>
      </c>
      <c r="H153">
        <v>45000</v>
      </c>
      <c r="I153">
        <v>22000</v>
      </c>
      <c r="J153">
        <v>2250</v>
      </c>
      <c r="K153" s="17">
        <f>(Fact_Ventas_Detalle[[#This Row],[Cantidad]]*Fact_Ventas_Detalle[[#This Row],[Precio Unitario]])-Fact_Ventas_Detalle[[#This Row],[Descuento Linea]]</f>
        <v>42750</v>
      </c>
    </row>
    <row r="154" spans="1:11" x14ac:dyDescent="0.25">
      <c r="A154">
        <v>13</v>
      </c>
      <c r="B154" s="17" t="s">
        <v>75</v>
      </c>
      <c r="C154">
        <v>2</v>
      </c>
      <c r="D154" s="17" t="s">
        <v>37</v>
      </c>
      <c r="E154" s="17" t="s">
        <v>38</v>
      </c>
      <c r="F154" s="17" t="s">
        <v>33</v>
      </c>
      <c r="G154">
        <v>1</v>
      </c>
      <c r="H154">
        <v>45000</v>
      </c>
      <c r="I154">
        <v>22000</v>
      </c>
      <c r="J154">
        <v>2250</v>
      </c>
      <c r="K154" s="17">
        <f>(Fact_Ventas_Detalle[[#This Row],[Cantidad]]*Fact_Ventas_Detalle[[#This Row],[Precio Unitario]])-Fact_Ventas_Detalle[[#This Row],[Descuento Linea]]</f>
        <v>42750</v>
      </c>
    </row>
    <row r="155" spans="1:11" x14ac:dyDescent="0.25">
      <c r="A155">
        <v>13</v>
      </c>
      <c r="B155" s="17" t="s">
        <v>73</v>
      </c>
      <c r="C155">
        <v>2</v>
      </c>
      <c r="D155" s="17" t="s">
        <v>27</v>
      </c>
      <c r="E155" s="17" t="s">
        <v>28</v>
      </c>
      <c r="F155" s="17" t="s">
        <v>29</v>
      </c>
      <c r="G155">
        <v>2</v>
      </c>
      <c r="H155">
        <v>240000</v>
      </c>
      <c r="I155">
        <v>150000</v>
      </c>
      <c r="J155">
        <v>48000</v>
      </c>
      <c r="K155" s="17">
        <f>(Fact_Ventas_Detalle[[#This Row],[Cantidad]]*Fact_Ventas_Detalle[[#This Row],[Precio Unitario]])-Fact_Ventas_Detalle[[#This Row],[Descuento Linea]]</f>
        <v>432000</v>
      </c>
    </row>
    <row r="156" spans="1:11" x14ac:dyDescent="0.25">
      <c r="A156">
        <v>13</v>
      </c>
      <c r="B156" s="17" t="s">
        <v>466</v>
      </c>
      <c r="C156">
        <v>2</v>
      </c>
      <c r="D156" s="17" t="s">
        <v>42</v>
      </c>
      <c r="E156" s="17" t="s">
        <v>43</v>
      </c>
      <c r="F156" s="17" t="s">
        <v>29</v>
      </c>
      <c r="G156">
        <v>1</v>
      </c>
      <c r="H156">
        <v>185000</v>
      </c>
      <c r="I156">
        <v>115000</v>
      </c>
      <c r="J156">
        <v>18500</v>
      </c>
      <c r="K156" s="17">
        <f>(Fact_Ventas_Detalle[[#This Row],[Cantidad]]*Fact_Ventas_Detalle[[#This Row],[Precio Unitario]])-Fact_Ventas_Detalle[[#This Row],[Descuento Linea]]</f>
        <v>166500</v>
      </c>
    </row>
    <row r="157" spans="1:11" x14ac:dyDescent="0.25">
      <c r="A157">
        <v>13</v>
      </c>
      <c r="B157" s="17" t="s">
        <v>78</v>
      </c>
      <c r="C157">
        <v>1</v>
      </c>
      <c r="D157" s="17" t="s">
        <v>31</v>
      </c>
      <c r="E157" s="17" t="s">
        <v>32</v>
      </c>
      <c r="F157" s="17" t="s">
        <v>33</v>
      </c>
      <c r="G157">
        <v>2</v>
      </c>
      <c r="H157">
        <v>25000</v>
      </c>
      <c r="I157">
        <v>11000</v>
      </c>
      <c r="J157">
        <v>2500</v>
      </c>
      <c r="K157" s="17">
        <f>(Fact_Ventas_Detalle[[#This Row],[Cantidad]]*Fact_Ventas_Detalle[[#This Row],[Precio Unitario]])-Fact_Ventas_Detalle[[#This Row],[Descuento Linea]]</f>
        <v>47500</v>
      </c>
    </row>
    <row r="158" spans="1:11" x14ac:dyDescent="0.25">
      <c r="A158">
        <v>14</v>
      </c>
      <c r="B158" s="17" t="s">
        <v>79</v>
      </c>
      <c r="C158">
        <v>1</v>
      </c>
      <c r="D158" s="17" t="s">
        <v>39</v>
      </c>
      <c r="E158" s="17" t="s">
        <v>40</v>
      </c>
      <c r="F158" s="17" t="s">
        <v>14</v>
      </c>
      <c r="G158">
        <v>3</v>
      </c>
      <c r="H158">
        <v>75000</v>
      </c>
      <c r="I158">
        <v>42000</v>
      </c>
      <c r="J158">
        <v>0</v>
      </c>
      <c r="K158" s="17">
        <f>(Fact_Ventas_Detalle[[#This Row],[Cantidad]]*Fact_Ventas_Detalle[[#This Row],[Precio Unitario]])-Fact_Ventas_Detalle[[#This Row],[Descuento Linea]]</f>
        <v>225000</v>
      </c>
    </row>
    <row r="159" spans="1:11" x14ac:dyDescent="0.25">
      <c r="A159">
        <v>14</v>
      </c>
      <c r="B159" s="17" t="s">
        <v>78</v>
      </c>
      <c r="C159">
        <v>2</v>
      </c>
      <c r="D159" s="17" t="s">
        <v>31</v>
      </c>
      <c r="E159" s="17" t="s">
        <v>32</v>
      </c>
      <c r="F159" s="17" t="s">
        <v>33</v>
      </c>
      <c r="G159">
        <v>3</v>
      </c>
      <c r="H159">
        <v>25000</v>
      </c>
      <c r="I159">
        <v>11000</v>
      </c>
      <c r="J159">
        <v>0</v>
      </c>
      <c r="K159" s="17">
        <f>(Fact_Ventas_Detalle[[#This Row],[Cantidad]]*Fact_Ventas_Detalle[[#This Row],[Precio Unitario]])-Fact_Ventas_Detalle[[#This Row],[Descuento Linea]]</f>
        <v>75000</v>
      </c>
    </row>
    <row r="160" spans="1:11" x14ac:dyDescent="0.25">
      <c r="A160">
        <v>14</v>
      </c>
      <c r="B160" s="17" t="s">
        <v>404</v>
      </c>
      <c r="C160">
        <v>4</v>
      </c>
      <c r="D160" s="17" t="s">
        <v>27</v>
      </c>
      <c r="E160" s="17" t="s">
        <v>28</v>
      </c>
      <c r="F160" s="17" t="s">
        <v>29</v>
      </c>
      <c r="G160">
        <v>1</v>
      </c>
      <c r="H160">
        <v>240000</v>
      </c>
      <c r="I160">
        <v>150000</v>
      </c>
      <c r="J160">
        <v>0</v>
      </c>
      <c r="K160" s="17">
        <f>(Fact_Ventas_Detalle[[#This Row],[Cantidad]]*Fact_Ventas_Detalle[[#This Row],[Precio Unitario]])-Fact_Ventas_Detalle[[#This Row],[Descuento Linea]]</f>
        <v>240000</v>
      </c>
    </row>
    <row r="161" spans="1:11" x14ac:dyDescent="0.25">
      <c r="A161">
        <v>14</v>
      </c>
      <c r="B161" s="17" t="s">
        <v>72</v>
      </c>
      <c r="C161">
        <v>3</v>
      </c>
      <c r="D161" s="17" t="s">
        <v>27</v>
      </c>
      <c r="E161" s="17" t="s">
        <v>28</v>
      </c>
      <c r="F161" s="17" t="s">
        <v>29</v>
      </c>
      <c r="G161">
        <v>3</v>
      </c>
      <c r="H161">
        <v>240000</v>
      </c>
      <c r="I161">
        <v>150000</v>
      </c>
      <c r="J161">
        <v>72000</v>
      </c>
      <c r="K161" s="17">
        <f>(Fact_Ventas_Detalle[[#This Row],[Cantidad]]*Fact_Ventas_Detalle[[#This Row],[Precio Unitario]])-Fact_Ventas_Detalle[[#This Row],[Descuento Linea]]</f>
        <v>648000</v>
      </c>
    </row>
    <row r="162" spans="1:11" x14ac:dyDescent="0.25">
      <c r="A162">
        <v>14</v>
      </c>
      <c r="B162" s="17" t="s">
        <v>75</v>
      </c>
      <c r="C162">
        <v>3</v>
      </c>
      <c r="D162" s="17" t="s">
        <v>37</v>
      </c>
      <c r="E162" s="17" t="s">
        <v>38</v>
      </c>
      <c r="F162" s="17" t="s">
        <v>33</v>
      </c>
      <c r="G162">
        <v>1</v>
      </c>
      <c r="H162">
        <v>45000</v>
      </c>
      <c r="I162">
        <v>22000</v>
      </c>
      <c r="J162">
        <v>2250</v>
      </c>
      <c r="K162" s="17">
        <f>(Fact_Ventas_Detalle[[#This Row],[Cantidad]]*Fact_Ventas_Detalle[[#This Row],[Precio Unitario]])-Fact_Ventas_Detalle[[#This Row],[Descuento Linea]]</f>
        <v>42750</v>
      </c>
    </row>
    <row r="163" spans="1:11" x14ac:dyDescent="0.25">
      <c r="A163">
        <v>14</v>
      </c>
      <c r="B163" s="17" t="s">
        <v>77</v>
      </c>
      <c r="C163">
        <v>2</v>
      </c>
      <c r="D163" s="17" t="s">
        <v>39</v>
      </c>
      <c r="E163" s="17" t="s">
        <v>40</v>
      </c>
      <c r="F163" s="17" t="s">
        <v>14</v>
      </c>
      <c r="G163">
        <v>1</v>
      </c>
      <c r="H163">
        <v>75000</v>
      </c>
      <c r="I163">
        <v>42000</v>
      </c>
      <c r="J163">
        <v>3750</v>
      </c>
      <c r="K163" s="17">
        <f>(Fact_Ventas_Detalle[[#This Row],[Cantidad]]*Fact_Ventas_Detalle[[#This Row],[Precio Unitario]])-Fact_Ventas_Detalle[[#This Row],[Descuento Linea]]</f>
        <v>71250</v>
      </c>
    </row>
    <row r="164" spans="1:11" x14ac:dyDescent="0.25">
      <c r="A164">
        <v>14</v>
      </c>
      <c r="B164" s="17" t="s">
        <v>80</v>
      </c>
      <c r="C164">
        <v>1</v>
      </c>
      <c r="D164" s="17" t="s">
        <v>27</v>
      </c>
      <c r="E164" s="17" t="s">
        <v>28</v>
      </c>
      <c r="F164" s="17" t="s">
        <v>29</v>
      </c>
      <c r="G164">
        <v>2</v>
      </c>
      <c r="H164">
        <v>240000</v>
      </c>
      <c r="I164">
        <v>150000</v>
      </c>
      <c r="J164">
        <v>48000</v>
      </c>
      <c r="K164" s="17">
        <f>(Fact_Ventas_Detalle[[#This Row],[Cantidad]]*Fact_Ventas_Detalle[[#This Row],[Precio Unitario]])-Fact_Ventas_Detalle[[#This Row],[Descuento Linea]]</f>
        <v>432000</v>
      </c>
    </row>
    <row r="165" spans="1:11" x14ac:dyDescent="0.25">
      <c r="A165">
        <v>14</v>
      </c>
      <c r="B165" s="17" t="s">
        <v>468</v>
      </c>
      <c r="C165">
        <v>1</v>
      </c>
      <c r="D165" s="17" t="s">
        <v>42</v>
      </c>
      <c r="E165" s="17" t="s">
        <v>43</v>
      </c>
      <c r="F165" s="17" t="s">
        <v>29</v>
      </c>
      <c r="G165">
        <v>2</v>
      </c>
      <c r="H165">
        <v>185000</v>
      </c>
      <c r="I165">
        <v>115000</v>
      </c>
      <c r="J165">
        <v>18500</v>
      </c>
      <c r="K165" s="17">
        <f>(Fact_Ventas_Detalle[[#This Row],[Cantidad]]*Fact_Ventas_Detalle[[#This Row],[Precio Unitario]])-Fact_Ventas_Detalle[[#This Row],[Descuento Linea]]</f>
        <v>351500</v>
      </c>
    </row>
    <row r="166" spans="1:11" x14ac:dyDescent="0.25">
      <c r="A166">
        <v>14</v>
      </c>
      <c r="B166" s="17" t="s">
        <v>82</v>
      </c>
      <c r="C166">
        <v>1</v>
      </c>
      <c r="D166" s="17" t="s">
        <v>31</v>
      </c>
      <c r="E166" s="17" t="s">
        <v>32</v>
      </c>
      <c r="F166" s="17" t="s">
        <v>33</v>
      </c>
      <c r="G166">
        <v>3</v>
      </c>
      <c r="H166">
        <v>25000</v>
      </c>
      <c r="I166">
        <v>11000</v>
      </c>
      <c r="J166">
        <v>3750</v>
      </c>
      <c r="K166" s="17">
        <f>(Fact_Ventas_Detalle[[#This Row],[Cantidad]]*Fact_Ventas_Detalle[[#This Row],[Precio Unitario]])-Fact_Ventas_Detalle[[#This Row],[Descuento Linea]]</f>
        <v>71250</v>
      </c>
    </row>
    <row r="167" spans="1:11" x14ac:dyDescent="0.25">
      <c r="A167">
        <v>14</v>
      </c>
      <c r="B167" s="17" t="s">
        <v>535</v>
      </c>
      <c r="C167">
        <v>1</v>
      </c>
      <c r="D167" s="17" t="s">
        <v>31</v>
      </c>
      <c r="E167" s="17" t="s">
        <v>32</v>
      </c>
      <c r="F167" s="17" t="s">
        <v>33</v>
      </c>
      <c r="G167">
        <v>3</v>
      </c>
      <c r="H167">
        <v>25000</v>
      </c>
      <c r="I167">
        <v>11000</v>
      </c>
      <c r="J167">
        <v>7500</v>
      </c>
      <c r="K167" s="17">
        <f>(Fact_Ventas_Detalle[[#This Row],[Cantidad]]*Fact_Ventas_Detalle[[#This Row],[Precio Unitario]])-Fact_Ventas_Detalle[[#This Row],[Descuento Linea]]</f>
        <v>67500</v>
      </c>
    </row>
    <row r="168" spans="1:11" x14ac:dyDescent="0.25">
      <c r="A168">
        <v>14</v>
      </c>
      <c r="B168" s="17" t="s">
        <v>81</v>
      </c>
      <c r="C168">
        <v>1</v>
      </c>
      <c r="D168" s="17" t="s">
        <v>37</v>
      </c>
      <c r="E168" s="17" t="s">
        <v>38</v>
      </c>
      <c r="F168" s="17" t="s">
        <v>33</v>
      </c>
      <c r="G168">
        <v>1</v>
      </c>
      <c r="H168">
        <v>45000</v>
      </c>
      <c r="I168">
        <v>22000</v>
      </c>
      <c r="J168">
        <v>4500</v>
      </c>
      <c r="K168" s="17">
        <f>(Fact_Ventas_Detalle[[#This Row],[Cantidad]]*Fact_Ventas_Detalle[[#This Row],[Precio Unitario]])-Fact_Ventas_Detalle[[#This Row],[Descuento Linea]]</f>
        <v>40500</v>
      </c>
    </row>
    <row r="169" spans="1:11" x14ac:dyDescent="0.25">
      <c r="A169">
        <v>14</v>
      </c>
      <c r="B169" s="17" t="s">
        <v>440</v>
      </c>
      <c r="C169">
        <v>1</v>
      </c>
      <c r="D169" s="17" t="s">
        <v>12</v>
      </c>
      <c r="E169" s="17" t="s">
        <v>13</v>
      </c>
      <c r="F169" s="17" t="s">
        <v>14</v>
      </c>
      <c r="G169">
        <v>1</v>
      </c>
      <c r="H169">
        <v>280000</v>
      </c>
      <c r="I169">
        <v>190000</v>
      </c>
      <c r="J169">
        <v>28000</v>
      </c>
      <c r="K169" s="17">
        <f>(Fact_Ventas_Detalle[[#This Row],[Cantidad]]*Fact_Ventas_Detalle[[#This Row],[Precio Unitario]])-Fact_Ventas_Detalle[[#This Row],[Descuento Linea]]</f>
        <v>252000</v>
      </c>
    </row>
    <row r="170" spans="1:11" x14ac:dyDescent="0.25">
      <c r="A170">
        <v>15</v>
      </c>
      <c r="B170" s="17" t="s">
        <v>80</v>
      </c>
      <c r="C170">
        <v>2</v>
      </c>
      <c r="D170" s="17" t="s">
        <v>31</v>
      </c>
      <c r="E170" s="17" t="s">
        <v>32</v>
      </c>
      <c r="F170" s="17" t="s">
        <v>33</v>
      </c>
      <c r="G170">
        <v>1</v>
      </c>
      <c r="H170">
        <v>25000</v>
      </c>
      <c r="I170">
        <v>11000</v>
      </c>
      <c r="J170">
        <v>0</v>
      </c>
      <c r="K170" s="17">
        <f>(Fact_Ventas_Detalle[[#This Row],[Cantidad]]*Fact_Ventas_Detalle[[#This Row],[Precio Unitario]])-Fact_Ventas_Detalle[[#This Row],[Descuento Linea]]</f>
        <v>25000</v>
      </c>
    </row>
    <row r="171" spans="1:11" x14ac:dyDescent="0.25">
      <c r="A171">
        <v>15</v>
      </c>
      <c r="B171" s="17" t="s">
        <v>468</v>
      </c>
      <c r="C171">
        <v>2</v>
      </c>
      <c r="D171" s="17" t="s">
        <v>39</v>
      </c>
      <c r="E171" s="17" t="s">
        <v>40</v>
      </c>
      <c r="F171" s="17" t="s">
        <v>14</v>
      </c>
      <c r="G171">
        <v>3</v>
      </c>
      <c r="H171">
        <v>75000</v>
      </c>
      <c r="I171">
        <v>42000</v>
      </c>
      <c r="J171">
        <v>0</v>
      </c>
      <c r="K171" s="17">
        <f>(Fact_Ventas_Detalle[[#This Row],[Cantidad]]*Fact_Ventas_Detalle[[#This Row],[Precio Unitario]])-Fact_Ventas_Detalle[[#This Row],[Descuento Linea]]</f>
        <v>225000</v>
      </c>
    </row>
    <row r="172" spans="1:11" x14ac:dyDescent="0.25">
      <c r="A172">
        <v>15</v>
      </c>
      <c r="B172" s="17" t="s">
        <v>78</v>
      </c>
      <c r="C172">
        <v>3</v>
      </c>
      <c r="D172" s="17" t="s">
        <v>24</v>
      </c>
      <c r="E172" s="17" t="s">
        <v>25</v>
      </c>
      <c r="F172" s="17" t="s">
        <v>14</v>
      </c>
      <c r="G172">
        <v>3</v>
      </c>
      <c r="H172">
        <v>850000</v>
      </c>
      <c r="I172">
        <v>620000</v>
      </c>
      <c r="J172">
        <v>0</v>
      </c>
      <c r="K172" s="17">
        <f>(Fact_Ventas_Detalle[[#This Row],[Cantidad]]*Fact_Ventas_Detalle[[#This Row],[Precio Unitario]])-Fact_Ventas_Detalle[[#This Row],[Descuento Linea]]</f>
        <v>2550000</v>
      </c>
    </row>
    <row r="173" spans="1:11" x14ac:dyDescent="0.25">
      <c r="A173">
        <v>15</v>
      </c>
      <c r="B173" s="17" t="s">
        <v>72</v>
      </c>
      <c r="C173">
        <v>4</v>
      </c>
      <c r="D173" s="17" t="s">
        <v>42</v>
      </c>
      <c r="E173" s="17" t="s">
        <v>43</v>
      </c>
      <c r="F173" s="17" t="s">
        <v>29</v>
      </c>
      <c r="G173">
        <v>1</v>
      </c>
      <c r="H173">
        <v>185000</v>
      </c>
      <c r="I173">
        <v>115000</v>
      </c>
      <c r="J173">
        <v>0</v>
      </c>
      <c r="K173" s="17">
        <f>(Fact_Ventas_Detalle[[#This Row],[Cantidad]]*Fact_Ventas_Detalle[[#This Row],[Precio Unitario]])-Fact_Ventas_Detalle[[#This Row],[Descuento Linea]]</f>
        <v>185000</v>
      </c>
    </row>
    <row r="174" spans="1:11" x14ac:dyDescent="0.25">
      <c r="A174">
        <v>15</v>
      </c>
      <c r="B174" s="17" t="s">
        <v>75</v>
      </c>
      <c r="C174">
        <v>4</v>
      </c>
      <c r="D174" s="17" t="s">
        <v>12</v>
      </c>
      <c r="E174" s="17" t="s">
        <v>13</v>
      </c>
      <c r="F174" s="17" t="s">
        <v>14</v>
      </c>
      <c r="G174">
        <v>3</v>
      </c>
      <c r="H174">
        <v>280000</v>
      </c>
      <c r="I174">
        <v>190000</v>
      </c>
      <c r="J174">
        <v>0</v>
      </c>
      <c r="K174" s="17">
        <f>(Fact_Ventas_Detalle[[#This Row],[Cantidad]]*Fact_Ventas_Detalle[[#This Row],[Precio Unitario]])-Fact_Ventas_Detalle[[#This Row],[Descuento Linea]]</f>
        <v>840000</v>
      </c>
    </row>
    <row r="175" spans="1:11" x14ac:dyDescent="0.25">
      <c r="A175">
        <v>15</v>
      </c>
      <c r="B175" s="17" t="s">
        <v>77</v>
      </c>
      <c r="C175">
        <v>3</v>
      </c>
      <c r="D175" s="17" t="s">
        <v>24</v>
      </c>
      <c r="E175" s="17" t="s">
        <v>25</v>
      </c>
      <c r="F175" s="17" t="s">
        <v>14</v>
      </c>
      <c r="G175">
        <v>1</v>
      </c>
      <c r="H175">
        <v>850000</v>
      </c>
      <c r="I175">
        <v>620000</v>
      </c>
      <c r="J175">
        <v>42500</v>
      </c>
      <c r="K175" s="17">
        <f>(Fact_Ventas_Detalle[[#This Row],[Cantidad]]*Fact_Ventas_Detalle[[#This Row],[Precio Unitario]])-Fact_Ventas_Detalle[[#This Row],[Descuento Linea]]</f>
        <v>807500</v>
      </c>
    </row>
    <row r="176" spans="1:11" x14ac:dyDescent="0.25">
      <c r="A176">
        <v>15</v>
      </c>
      <c r="B176" s="17" t="s">
        <v>81</v>
      </c>
      <c r="C176">
        <v>2</v>
      </c>
      <c r="D176" s="17" t="s">
        <v>42</v>
      </c>
      <c r="E176" s="17" t="s">
        <v>43</v>
      </c>
      <c r="F176" s="17" t="s">
        <v>29</v>
      </c>
      <c r="G176">
        <v>3</v>
      </c>
      <c r="H176">
        <v>185000</v>
      </c>
      <c r="I176">
        <v>115000</v>
      </c>
      <c r="J176">
        <v>27750</v>
      </c>
      <c r="K176" s="17">
        <f>(Fact_Ventas_Detalle[[#This Row],[Cantidad]]*Fact_Ventas_Detalle[[#This Row],[Precio Unitario]])-Fact_Ventas_Detalle[[#This Row],[Descuento Linea]]</f>
        <v>527250</v>
      </c>
    </row>
    <row r="177" spans="1:11" x14ac:dyDescent="0.25">
      <c r="A177">
        <v>15</v>
      </c>
      <c r="B177" s="17" t="s">
        <v>79</v>
      </c>
      <c r="C177">
        <v>2</v>
      </c>
      <c r="D177" s="17" t="s">
        <v>37</v>
      </c>
      <c r="E177" s="17" t="s">
        <v>38</v>
      </c>
      <c r="F177" s="17" t="s">
        <v>33</v>
      </c>
      <c r="G177">
        <v>1</v>
      </c>
      <c r="H177">
        <v>45000</v>
      </c>
      <c r="I177">
        <v>22000</v>
      </c>
      <c r="J177">
        <v>4500</v>
      </c>
      <c r="K177" s="17">
        <f>(Fact_Ventas_Detalle[[#This Row],[Cantidad]]*Fact_Ventas_Detalle[[#This Row],[Precio Unitario]])-Fact_Ventas_Detalle[[#This Row],[Descuento Linea]]</f>
        <v>40500</v>
      </c>
    </row>
    <row r="178" spans="1:11" x14ac:dyDescent="0.25">
      <c r="A178">
        <v>15</v>
      </c>
      <c r="B178" s="17" t="s">
        <v>82</v>
      </c>
      <c r="C178">
        <v>2</v>
      </c>
      <c r="D178" s="17" t="s">
        <v>17</v>
      </c>
      <c r="E178" s="17" t="s">
        <v>18</v>
      </c>
      <c r="F178" s="17" t="s">
        <v>19</v>
      </c>
      <c r="G178">
        <v>2</v>
      </c>
      <c r="H178">
        <v>65000</v>
      </c>
      <c r="I178">
        <v>35000</v>
      </c>
      <c r="J178">
        <v>6500</v>
      </c>
      <c r="K178" s="17">
        <f>(Fact_Ventas_Detalle[[#This Row],[Cantidad]]*Fact_Ventas_Detalle[[#This Row],[Precio Unitario]])-Fact_Ventas_Detalle[[#This Row],[Descuento Linea]]</f>
        <v>123500</v>
      </c>
    </row>
    <row r="179" spans="1:11" x14ac:dyDescent="0.25">
      <c r="A179">
        <v>15</v>
      </c>
      <c r="B179" s="17" t="s">
        <v>535</v>
      </c>
      <c r="C179">
        <v>2</v>
      </c>
      <c r="D179" s="17" t="s">
        <v>39</v>
      </c>
      <c r="E179" s="17" t="s">
        <v>40</v>
      </c>
      <c r="F179" s="17" t="s">
        <v>14</v>
      </c>
      <c r="G179">
        <v>3</v>
      </c>
      <c r="H179">
        <v>75000</v>
      </c>
      <c r="I179">
        <v>42000</v>
      </c>
      <c r="J179">
        <v>11250</v>
      </c>
      <c r="K179" s="17">
        <f>(Fact_Ventas_Detalle[[#This Row],[Cantidad]]*Fact_Ventas_Detalle[[#This Row],[Precio Unitario]])-Fact_Ventas_Detalle[[#This Row],[Descuento Linea]]</f>
        <v>213750</v>
      </c>
    </row>
    <row r="180" spans="1:11" x14ac:dyDescent="0.25">
      <c r="A180">
        <v>15</v>
      </c>
      <c r="B180" s="17" t="s">
        <v>440</v>
      </c>
      <c r="C180">
        <v>2</v>
      </c>
      <c r="D180" s="17" t="s">
        <v>39</v>
      </c>
      <c r="E180" s="17" t="s">
        <v>40</v>
      </c>
      <c r="F180" s="17" t="s">
        <v>14</v>
      </c>
      <c r="G180">
        <v>1</v>
      </c>
      <c r="H180">
        <v>75000</v>
      </c>
      <c r="I180">
        <v>42000</v>
      </c>
      <c r="J180">
        <v>7500</v>
      </c>
      <c r="K180" s="17">
        <f>(Fact_Ventas_Detalle[[#This Row],[Cantidad]]*Fact_Ventas_Detalle[[#This Row],[Precio Unitario]])-Fact_Ventas_Detalle[[#This Row],[Descuento Linea]]</f>
        <v>67500</v>
      </c>
    </row>
    <row r="181" spans="1:11" x14ac:dyDescent="0.25">
      <c r="A181">
        <v>15</v>
      </c>
      <c r="B181" s="17" t="s">
        <v>613</v>
      </c>
      <c r="C181">
        <v>1</v>
      </c>
      <c r="D181" s="17" t="s">
        <v>24</v>
      </c>
      <c r="E181" s="17" t="s">
        <v>25</v>
      </c>
      <c r="F181" s="17" t="s">
        <v>14</v>
      </c>
      <c r="G181">
        <v>3</v>
      </c>
      <c r="H181">
        <v>850000</v>
      </c>
      <c r="I181">
        <v>620000</v>
      </c>
      <c r="J181">
        <v>255000</v>
      </c>
      <c r="K181" s="17">
        <f>(Fact_Ventas_Detalle[[#This Row],[Cantidad]]*Fact_Ventas_Detalle[[#This Row],[Precio Unitario]])-Fact_Ventas_Detalle[[#This Row],[Descuento Linea]]</f>
        <v>2295000</v>
      </c>
    </row>
    <row r="182" spans="1:11" x14ac:dyDescent="0.25">
      <c r="A182">
        <v>16</v>
      </c>
      <c r="B182" s="17" t="s">
        <v>83</v>
      </c>
      <c r="C182">
        <v>1</v>
      </c>
      <c r="D182" s="17" t="s">
        <v>24</v>
      </c>
      <c r="E182" s="17" t="s">
        <v>25</v>
      </c>
      <c r="F182" s="17" t="s">
        <v>14</v>
      </c>
      <c r="G182">
        <v>3</v>
      </c>
      <c r="H182">
        <v>850000</v>
      </c>
      <c r="I182">
        <v>620000</v>
      </c>
      <c r="J182">
        <v>0</v>
      </c>
      <c r="K182" s="17">
        <f>(Fact_Ventas_Detalle[[#This Row],[Cantidad]]*Fact_Ventas_Detalle[[#This Row],[Precio Unitario]])-Fact_Ventas_Detalle[[#This Row],[Descuento Linea]]</f>
        <v>2550000</v>
      </c>
    </row>
    <row r="183" spans="1:11" x14ac:dyDescent="0.25">
      <c r="A183">
        <v>16</v>
      </c>
      <c r="B183" s="17" t="s">
        <v>84</v>
      </c>
      <c r="C183">
        <v>1</v>
      </c>
      <c r="D183" s="17" t="s">
        <v>42</v>
      </c>
      <c r="E183" s="17" t="s">
        <v>43</v>
      </c>
      <c r="F183" s="17" t="s">
        <v>29</v>
      </c>
      <c r="G183">
        <v>2</v>
      </c>
      <c r="H183">
        <v>185000</v>
      </c>
      <c r="I183">
        <v>115000</v>
      </c>
      <c r="J183">
        <v>0</v>
      </c>
      <c r="K183" s="17">
        <f>(Fact_Ventas_Detalle[[#This Row],[Cantidad]]*Fact_Ventas_Detalle[[#This Row],[Precio Unitario]])-Fact_Ventas_Detalle[[#This Row],[Descuento Linea]]</f>
        <v>370000</v>
      </c>
    </row>
    <row r="184" spans="1:11" x14ac:dyDescent="0.25">
      <c r="A184">
        <v>16</v>
      </c>
      <c r="B184" s="17" t="s">
        <v>85</v>
      </c>
      <c r="C184">
        <v>1</v>
      </c>
      <c r="D184" s="17" t="s">
        <v>17</v>
      </c>
      <c r="E184" s="17" t="s">
        <v>18</v>
      </c>
      <c r="F184" s="17" t="s">
        <v>19</v>
      </c>
      <c r="G184">
        <v>2</v>
      </c>
      <c r="H184">
        <v>65000</v>
      </c>
      <c r="I184">
        <v>35000</v>
      </c>
      <c r="J184">
        <v>0</v>
      </c>
      <c r="K184" s="17">
        <f>(Fact_Ventas_Detalle[[#This Row],[Cantidad]]*Fact_Ventas_Detalle[[#This Row],[Precio Unitario]])-Fact_Ventas_Detalle[[#This Row],[Descuento Linea]]</f>
        <v>130000</v>
      </c>
    </row>
    <row r="185" spans="1:11" x14ac:dyDescent="0.25">
      <c r="A185">
        <v>16</v>
      </c>
      <c r="B185" s="17" t="s">
        <v>714</v>
      </c>
      <c r="C185">
        <v>1</v>
      </c>
      <c r="D185" s="17" t="s">
        <v>39</v>
      </c>
      <c r="E185" s="17" t="s">
        <v>40</v>
      </c>
      <c r="F185" s="17" t="s">
        <v>14</v>
      </c>
      <c r="G185">
        <v>1</v>
      </c>
      <c r="H185">
        <v>75000</v>
      </c>
      <c r="I185">
        <v>42000</v>
      </c>
      <c r="J185">
        <v>0</v>
      </c>
      <c r="K185" s="17">
        <f>(Fact_Ventas_Detalle[[#This Row],[Cantidad]]*Fact_Ventas_Detalle[[#This Row],[Precio Unitario]])-Fact_Ventas_Detalle[[#This Row],[Descuento Linea]]</f>
        <v>75000</v>
      </c>
    </row>
    <row r="186" spans="1:11" x14ac:dyDescent="0.25">
      <c r="A186">
        <v>16</v>
      </c>
      <c r="B186" s="17" t="s">
        <v>79</v>
      </c>
      <c r="C186">
        <v>3</v>
      </c>
      <c r="D186" s="17" t="s">
        <v>24</v>
      </c>
      <c r="E186" s="17" t="s">
        <v>25</v>
      </c>
      <c r="F186" s="17" t="s">
        <v>14</v>
      </c>
      <c r="G186">
        <v>2</v>
      </c>
      <c r="H186">
        <v>850000</v>
      </c>
      <c r="I186">
        <v>620000</v>
      </c>
      <c r="J186">
        <v>0</v>
      </c>
      <c r="K186" s="17">
        <f>(Fact_Ventas_Detalle[[#This Row],[Cantidad]]*Fact_Ventas_Detalle[[#This Row],[Precio Unitario]])-Fact_Ventas_Detalle[[#This Row],[Descuento Linea]]</f>
        <v>1700000</v>
      </c>
    </row>
    <row r="187" spans="1:11" x14ac:dyDescent="0.25">
      <c r="A187">
        <v>16</v>
      </c>
      <c r="B187" s="17" t="s">
        <v>77</v>
      </c>
      <c r="C187">
        <v>4</v>
      </c>
      <c r="D187" s="17" t="s">
        <v>31</v>
      </c>
      <c r="E187" s="17" t="s">
        <v>32</v>
      </c>
      <c r="F187" s="17" t="s">
        <v>33</v>
      </c>
      <c r="G187">
        <v>1</v>
      </c>
      <c r="H187">
        <v>25000</v>
      </c>
      <c r="I187">
        <v>11000</v>
      </c>
      <c r="J187">
        <v>1250</v>
      </c>
      <c r="K187" s="17">
        <f>(Fact_Ventas_Detalle[[#This Row],[Cantidad]]*Fact_Ventas_Detalle[[#This Row],[Precio Unitario]])-Fact_Ventas_Detalle[[#This Row],[Descuento Linea]]</f>
        <v>23750</v>
      </c>
    </row>
    <row r="188" spans="1:11" x14ac:dyDescent="0.25">
      <c r="A188">
        <v>16</v>
      </c>
      <c r="B188" s="17" t="s">
        <v>81</v>
      </c>
      <c r="C188">
        <v>3</v>
      </c>
      <c r="D188" s="17" t="s">
        <v>27</v>
      </c>
      <c r="E188" s="17" t="s">
        <v>28</v>
      </c>
      <c r="F188" s="17" t="s">
        <v>29</v>
      </c>
      <c r="G188">
        <v>3</v>
      </c>
      <c r="H188">
        <v>240000</v>
      </c>
      <c r="I188">
        <v>150000</v>
      </c>
      <c r="J188">
        <v>36000</v>
      </c>
      <c r="K188" s="17">
        <f>(Fact_Ventas_Detalle[[#This Row],[Cantidad]]*Fact_Ventas_Detalle[[#This Row],[Precio Unitario]])-Fact_Ventas_Detalle[[#This Row],[Descuento Linea]]</f>
        <v>684000</v>
      </c>
    </row>
    <row r="189" spans="1:11" x14ac:dyDescent="0.25">
      <c r="A189">
        <v>16</v>
      </c>
      <c r="B189" s="17" t="s">
        <v>535</v>
      </c>
      <c r="C189">
        <v>3</v>
      </c>
      <c r="D189" s="17" t="s">
        <v>42</v>
      </c>
      <c r="E189" s="17" t="s">
        <v>43</v>
      </c>
      <c r="F189" s="17" t="s">
        <v>29</v>
      </c>
      <c r="G189">
        <v>3</v>
      </c>
      <c r="H189">
        <v>185000</v>
      </c>
      <c r="I189">
        <v>115000</v>
      </c>
      <c r="J189">
        <v>27750</v>
      </c>
      <c r="K189" s="17">
        <f>(Fact_Ventas_Detalle[[#This Row],[Cantidad]]*Fact_Ventas_Detalle[[#This Row],[Precio Unitario]])-Fact_Ventas_Detalle[[#This Row],[Descuento Linea]]</f>
        <v>527250</v>
      </c>
    </row>
    <row r="190" spans="1:11" x14ac:dyDescent="0.25">
      <c r="A190">
        <v>16</v>
      </c>
      <c r="B190" s="17" t="s">
        <v>613</v>
      </c>
      <c r="C190">
        <v>2</v>
      </c>
      <c r="D190" s="17" t="s">
        <v>37</v>
      </c>
      <c r="E190" s="17" t="s">
        <v>38</v>
      </c>
      <c r="F190" s="17" t="s">
        <v>33</v>
      </c>
      <c r="G190">
        <v>1</v>
      </c>
      <c r="H190">
        <v>45000</v>
      </c>
      <c r="I190">
        <v>22000</v>
      </c>
      <c r="J190">
        <v>4500</v>
      </c>
      <c r="K190" s="17">
        <f>(Fact_Ventas_Detalle[[#This Row],[Cantidad]]*Fact_Ventas_Detalle[[#This Row],[Precio Unitario]])-Fact_Ventas_Detalle[[#This Row],[Descuento Linea]]</f>
        <v>40500</v>
      </c>
    </row>
    <row r="191" spans="1:11" x14ac:dyDescent="0.25">
      <c r="A191">
        <v>16</v>
      </c>
      <c r="B191" s="17" t="s">
        <v>86</v>
      </c>
      <c r="C191">
        <v>1</v>
      </c>
      <c r="D191" s="17" t="s">
        <v>12</v>
      </c>
      <c r="E191" s="17" t="s">
        <v>13</v>
      </c>
      <c r="F191" s="17" t="s">
        <v>14</v>
      </c>
      <c r="G191">
        <v>2</v>
      </c>
      <c r="H191">
        <v>280000</v>
      </c>
      <c r="I191">
        <v>190000</v>
      </c>
      <c r="J191">
        <v>56000</v>
      </c>
      <c r="K191" s="17">
        <f>(Fact_Ventas_Detalle[[#This Row],[Cantidad]]*Fact_Ventas_Detalle[[#This Row],[Precio Unitario]])-Fact_Ventas_Detalle[[#This Row],[Descuento Linea]]</f>
        <v>504000</v>
      </c>
    </row>
    <row r="192" spans="1:11" x14ac:dyDescent="0.25">
      <c r="A192">
        <v>16</v>
      </c>
      <c r="B192" s="17" t="s">
        <v>87</v>
      </c>
      <c r="C192">
        <v>1</v>
      </c>
      <c r="D192" s="17" t="s">
        <v>27</v>
      </c>
      <c r="E192" s="17" t="s">
        <v>28</v>
      </c>
      <c r="F192" s="17" t="s">
        <v>29</v>
      </c>
      <c r="G192">
        <v>2</v>
      </c>
      <c r="H192">
        <v>240000</v>
      </c>
      <c r="I192">
        <v>150000</v>
      </c>
      <c r="J192">
        <v>24000</v>
      </c>
      <c r="K192" s="17">
        <f>(Fact_Ventas_Detalle[[#This Row],[Cantidad]]*Fact_Ventas_Detalle[[#This Row],[Precio Unitario]])-Fact_Ventas_Detalle[[#This Row],[Descuento Linea]]</f>
        <v>456000</v>
      </c>
    </row>
    <row r="193" spans="1:11" x14ac:dyDescent="0.25">
      <c r="A193">
        <v>16</v>
      </c>
      <c r="B193" s="17" t="s">
        <v>573</v>
      </c>
      <c r="C193">
        <v>1</v>
      </c>
      <c r="D193" s="17" t="s">
        <v>17</v>
      </c>
      <c r="E193" s="17" t="s">
        <v>18</v>
      </c>
      <c r="F193" s="17" t="s">
        <v>19</v>
      </c>
      <c r="G193">
        <v>2</v>
      </c>
      <c r="H193">
        <v>65000</v>
      </c>
      <c r="I193">
        <v>35000</v>
      </c>
      <c r="J193">
        <v>6500</v>
      </c>
      <c r="K193" s="17">
        <f>(Fact_Ventas_Detalle[[#This Row],[Cantidad]]*Fact_Ventas_Detalle[[#This Row],[Precio Unitario]])-Fact_Ventas_Detalle[[#This Row],[Descuento Linea]]</f>
        <v>123500</v>
      </c>
    </row>
    <row r="194" spans="1:11" x14ac:dyDescent="0.25">
      <c r="A194">
        <v>17</v>
      </c>
      <c r="B194" s="17" t="s">
        <v>88</v>
      </c>
      <c r="C194">
        <v>1</v>
      </c>
      <c r="D194" s="17" t="s">
        <v>42</v>
      </c>
      <c r="E194" s="17" t="s">
        <v>43</v>
      </c>
      <c r="F194" s="17" t="s">
        <v>29</v>
      </c>
      <c r="G194">
        <v>2</v>
      </c>
      <c r="H194">
        <v>185000</v>
      </c>
      <c r="I194">
        <v>115000</v>
      </c>
      <c r="J194">
        <v>0</v>
      </c>
      <c r="K194" s="17">
        <f>(Fact_Ventas_Detalle[[#This Row],[Cantidad]]*Fact_Ventas_Detalle[[#This Row],[Precio Unitario]])-Fact_Ventas_Detalle[[#This Row],[Descuento Linea]]</f>
        <v>370000</v>
      </c>
    </row>
    <row r="195" spans="1:11" x14ac:dyDescent="0.25">
      <c r="A195">
        <v>17</v>
      </c>
      <c r="B195" s="17" t="s">
        <v>83</v>
      </c>
      <c r="C195">
        <v>2</v>
      </c>
      <c r="D195" s="17" t="s">
        <v>12</v>
      </c>
      <c r="E195" s="17" t="s">
        <v>13</v>
      </c>
      <c r="F195" s="17" t="s">
        <v>14</v>
      </c>
      <c r="G195">
        <v>2</v>
      </c>
      <c r="H195">
        <v>280000</v>
      </c>
      <c r="I195">
        <v>190000</v>
      </c>
      <c r="J195">
        <v>0</v>
      </c>
      <c r="K195" s="17">
        <f>(Fact_Ventas_Detalle[[#This Row],[Cantidad]]*Fact_Ventas_Detalle[[#This Row],[Precio Unitario]])-Fact_Ventas_Detalle[[#This Row],[Descuento Linea]]</f>
        <v>560000</v>
      </c>
    </row>
    <row r="196" spans="1:11" x14ac:dyDescent="0.25">
      <c r="A196">
        <v>17</v>
      </c>
      <c r="B196" s="17" t="s">
        <v>84</v>
      </c>
      <c r="C196">
        <v>2</v>
      </c>
      <c r="D196" s="17" t="s">
        <v>12</v>
      </c>
      <c r="E196" s="17" t="s">
        <v>13</v>
      </c>
      <c r="F196" s="17" t="s">
        <v>14</v>
      </c>
      <c r="G196">
        <v>2</v>
      </c>
      <c r="H196">
        <v>280000</v>
      </c>
      <c r="I196">
        <v>190000</v>
      </c>
      <c r="J196">
        <v>0</v>
      </c>
      <c r="K196" s="17">
        <f>(Fact_Ventas_Detalle[[#This Row],[Cantidad]]*Fact_Ventas_Detalle[[#This Row],[Precio Unitario]])-Fact_Ventas_Detalle[[#This Row],[Descuento Linea]]</f>
        <v>560000</v>
      </c>
    </row>
    <row r="197" spans="1:11" x14ac:dyDescent="0.25">
      <c r="A197">
        <v>17</v>
      </c>
      <c r="B197" s="17" t="s">
        <v>87</v>
      </c>
      <c r="C197">
        <v>2</v>
      </c>
      <c r="D197" s="17" t="s">
        <v>27</v>
      </c>
      <c r="E197" s="17" t="s">
        <v>28</v>
      </c>
      <c r="F197" s="17" t="s">
        <v>29</v>
      </c>
      <c r="G197">
        <v>3</v>
      </c>
      <c r="H197">
        <v>240000</v>
      </c>
      <c r="I197">
        <v>150000</v>
      </c>
      <c r="J197">
        <v>0</v>
      </c>
      <c r="K197" s="17">
        <f>(Fact_Ventas_Detalle[[#This Row],[Cantidad]]*Fact_Ventas_Detalle[[#This Row],[Precio Unitario]])-Fact_Ventas_Detalle[[#This Row],[Descuento Linea]]</f>
        <v>720000</v>
      </c>
    </row>
    <row r="198" spans="1:11" x14ac:dyDescent="0.25">
      <c r="A198">
        <v>17</v>
      </c>
      <c r="B198" s="17" t="s">
        <v>714</v>
      </c>
      <c r="C198">
        <v>2</v>
      </c>
      <c r="D198" s="17" t="s">
        <v>42</v>
      </c>
      <c r="E198" s="17" t="s">
        <v>43</v>
      </c>
      <c r="F198" s="17" t="s">
        <v>29</v>
      </c>
      <c r="G198">
        <v>3</v>
      </c>
      <c r="H198">
        <v>185000</v>
      </c>
      <c r="I198">
        <v>115000</v>
      </c>
      <c r="J198">
        <v>0</v>
      </c>
      <c r="K198" s="17">
        <f>(Fact_Ventas_Detalle[[#This Row],[Cantidad]]*Fact_Ventas_Detalle[[#This Row],[Precio Unitario]])-Fact_Ventas_Detalle[[#This Row],[Descuento Linea]]</f>
        <v>555000</v>
      </c>
    </row>
    <row r="199" spans="1:11" x14ac:dyDescent="0.25">
      <c r="A199">
        <v>17</v>
      </c>
      <c r="B199" s="17" t="s">
        <v>573</v>
      </c>
      <c r="C199">
        <v>2</v>
      </c>
      <c r="D199" s="17" t="s">
        <v>42</v>
      </c>
      <c r="E199" s="17" t="s">
        <v>43</v>
      </c>
      <c r="F199" s="17" t="s">
        <v>29</v>
      </c>
      <c r="G199">
        <v>1</v>
      </c>
      <c r="H199">
        <v>185000</v>
      </c>
      <c r="I199">
        <v>115000</v>
      </c>
      <c r="J199">
        <v>0</v>
      </c>
      <c r="K199" s="17">
        <f>(Fact_Ventas_Detalle[[#This Row],[Cantidad]]*Fact_Ventas_Detalle[[#This Row],[Precio Unitario]])-Fact_Ventas_Detalle[[#This Row],[Descuento Linea]]</f>
        <v>185000</v>
      </c>
    </row>
    <row r="200" spans="1:11" x14ac:dyDescent="0.25">
      <c r="A200">
        <v>17</v>
      </c>
      <c r="B200" s="17" t="s">
        <v>79</v>
      </c>
      <c r="C200">
        <v>4</v>
      </c>
      <c r="D200" s="17" t="s">
        <v>24</v>
      </c>
      <c r="E200" s="17" t="s">
        <v>25</v>
      </c>
      <c r="F200" s="17" t="s">
        <v>14</v>
      </c>
      <c r="G200">
        <v>1</v>
      </c>
      <c r="H200">
        <v>850000</v>
      </c>
      <c r="I200">
        <v>620000</v>
      </c>
      <c r="J200">
        <v>0</v>
      </c>
      <c r="K200" s="17">
        <f>(Fact_Ventas_Detalle[[#This Row],[Cantidad]]*Fact_Ventas_Detalle[[#This Row],[Precio Unitario]])-Fact_Ventas_Detalle[[#This Row],[Descuento Linea]]</f>
        <v>850000</v>
      </c>
    </row>
    <row r="201" spans="1:11" x14ac:dyDescent="0.25">
      <c r="A201">
        <v>17</v>
      </c>
      <c r="B201" s="17" t="s">
        <v>535</v>
      </c>
      <c r="C201">
        <v>4</v>
      </c>
      <c r="D201" s="17" t="s">
        <v>37</v>
      </c>
      <c r="E201" s="17" t="s">
        <v>38</v>
      </c>
      <c r="F201" s="17" t="s">
        <v>33</v>
      </c>
      <c r="G201">
        <v>2</v>
      </c>
      <c r="H201">
        <v>45000</v>
      </c>
      <c r="I201">
        <v>22000</v>
      </c>
      <c r="J201">
        <v>0</v>
      </c>
      <c r="K201" s="17">
        <f>(Fact_Ventas_Detalle[[#This Row],[Cantidad]]*Fact_Ventas_Detalle[[#This Row],[Precio Unitario]])-Fact_Ventas_Detalle[[#This Row],[Descuento Linea]]</f>
        <v>90000</v>
      </c>
    </row>
    <row r="202" spans="1:11" x14ac:dyDescent="0.25">
      <c r="A202">
        <v>17</v>
      </c>
      <c r="B202" s="17" t="s">
        <v>613</v>
      </c>
      <c r="C202">
        <v>3</v>
      </c>
      <c r="D202" s="17" t="s">
        <v>17</v>
      </c>
      <c r="E202" s="17" t="s">
        <v>18</v>
      </c>
      <c r="F202" s="17" t="s">
        <v>19</v>
      </c>
      <c r="G202">
        <v>1</v>
      </c>
      <c r="H202">
        <v>65000</v>
      </c>
      <c r="I202">
        <v>35000</v>
      </c>
      <c r="J202">
        <v>6500</v>
      </c>
      <c r="K202" s="17">
        <f>(Fact_Ventas_Detalle[[#This Row],[Cantidad]]*Fact_Ventas_Detalle[[#This Row],[Precio Unitario]])-Fact_Ventas_Detalle[[#This Row],[Descuento Linea]]</f>
        <v>58500</v>
      </c>
    </row>
    <row r="203" spans="1:11" x14ac:dyDescent="0.25">
      <c r="A203">
        <v>17</v>
      </c>
      <c r="B203" s="17" t="s">
        <v>86</v>
      </c>
      <c r="C203">
        <v>2</v>
      </c>
      <c r="D203" s="17" t="s">
        <v>39</v>
      </c>
      <c r="E203" s="17" t="s">
        <v>40</v>
      </c>
      <c r="F203" s="17" t="s">
        <v>14</v>
      </c>
      <c r="G203">
        <v>3</v>
      </c>
      <c r="H203">
        <v>75000</v>
      </c>
      <c r="I203">
        <v>42000</v>
      </c>
      <c r="J203">
        <v>11250</v>
      </c>
      <c r="K203" s="17">
        <f>(Fact_Ventas_Detalle[[#This Row],[Cantidad]]*Fact_Ventas_Detalle[[#This Row],[Precio Unitario]])-Fact_Ventas_Detalle[[#This Row],[Descuento Linea]]</f>
        <v>213750</v>
      </c>
    </row>
    <row r="204" spans="1:11" x14ac:dyDescent="0.25">
      <c r="A204">
        <v>17</v>
      </c>
      <c r="B204" s="17" t="s">
        <v>85</v>
      </c>
      <c r="C204">
        <v>2</v>
      </c>
      <c r="D204" s="17" t="s">
        <v>31</v>
      </c>
      <c r="E204" s="17" t="s">
        <v>32</v>
      </c>
      <c r="F204" s="17" t="s">
        <v>33</v>
      </c>
      <c r="G204">
        <v>1</v>
      </c>
      <c r="H204">
        <v>25000</v>
      </c>
      <c r="I204">
        <v>11000</v>
      </c>
      <c r="J204">
        <v>2500</v>
      </c>
      <c r="K204" s="17">
        <f>(Fact_Ventas_Detalle[[#This Row],[Cantidad]]*Fact_Ventas_Detalle[[#This Row],[Precio Unitario]])-Fact_Ventas_Detalle[[#This Row],[Descuento Linea]]</f>
        <v>22500</v>
      </c>
    </row>
    <row r="205" spans="1:11" x14ac:dyDescent="0.25">
      <c r="A205">
        <v>17</v>
      </c>
      <c r="B205" s="17" t="s">
        <v>89</v>
      </c>
      <c r="C205">
        <v>1</v>
      </c>
      <c r="D205" s="17" t="s">
        <v>42</v>
      </c>
      <c r="E205" s="17" t="s">
        <v>43</v>
      </c>
      <c r="F205" s="17" t="s">
        <v>29</v>
      </c>
      <c r="G205">
        <v>3</v>
      </c>
      <c r="H205">
        <v>185000</v>
      </c>
      <c r="I205">
        <v>115000</v>
      </c>
      <c r="J205">
        <v>27750</v>
      </c>
      <c r="K205" s="17">
        <f>(Fact_Ventas_Detalle[[#This Row],[Cantidad]]*Fact_Ventas_Detalle[[#This Row],[Precio Unitario]])-Fact_Ventas_Detalle[[#This Row],[Descuento Linea]]</f>
        <v>527250</v>
      </c>
    </row>
    <row r="206" spans="1:11" x14ac:dyDescent="0.25">
      <c r="A206">
        <v>18</v>
      </c>
      <c r="B206" s="17" t="s">
        <v>90</v>
      </c>
      <c r="C206">
        <v>1</v>
      </c>
      <c r="D206" s="17" t="s">
        <v>17</v>
      </c>
      <c r="E206" s="17" t="s">
        <v>18</v>
      </c>
      <c r="F206" s="17" t="s">
        <v>19</v>
      </c>
      <c r="G206">
        <v>1</v>
      </c>
      <c r="H206">
        <v>65000</v>
      </c>
      <c r="I206">
        <v>35000</v>
      </c>
      <c r="J206">
        <v>0</v>
      </c>
      <c r="K206" s="17">
        <f>(Fact_Ventas_Detalle[[#This Row],[Cantidad]]*Fact_Ventas_Detalle[[#This Row],[Precio Unitario]])-Fact_Ventas_Detalle[[#This Row],[Descuento Linea]]</f>
        <v>65000</v>
      </c>
    </row>
    <row r="207" spans="1:11" x14ac:dyDescent="0.25">
      <c r="A207">
        <v>18</v>
      </c>
      <c r="B207" s="17" t="s">
        <v>86</v>
      </c>
      <c r="C207">
        <v>3</v>
      </c>
      <c r="D207" s="17" t="s">
        <v>24</v>
      </c>
      <c r="E207" s="17" t="s">
        <v>25</v>
      </c>
      <c r="F207" s="17" t="s">
        <v>14</v>
      </c>
      <c r="G207">
        <v>3</v>
      </c>
      <c r="H207">
        <v>850000</v>
      </c>
      <c r="I207">
        <v>620000</v>
      </c>
      <c r="J207">
        <v>0</v>
      </c>
      <c r="K207" s="17">
        <f>(Fact_Ventas_Detalle[[#This Row],[Cantidad]]*Fact_Ventas_Detalle[[#This Row],[Precio Unitario]])-Fact_Ventas_Detalle[[#This Row],[Descuento Linea]]</f>
        <v>2550000</v>
      </c>
    </row>
    <row r="208" spans="1:11" x14ac:dyDescent="0.25">
      <c r="A208">
        <v>18</v>
      </c>
      <c r="B208" s="17" t="s">
        <v>84</v>
      </c>
      <c r="C208">
        <v>3</v>
      </c>
      <c r="D208" s="17" t="s">
        <v>12</v>
      </c>
      <c r="E208" s="17" t="s">
        <v>13</v>
      </c>
      <c r="F208" s="17" t="s">
        <v>14</v>
      </c>
      <c r="G208">
        <v>3</v>
      </c>
      <c r="H208">
        <v>280000</v>
      </c>
      <c r="I208">
        <v>190000</v>
      </c>
      <c r="J208">
        <v>0</v>
      </c>
      <c r="K208" s="17">
        <f>(Fact_Ventas_Detalle[[#This Row],[Cantidad]]*Fact_Ventas_Detalle[[#This Row],[Precio Unitario]])-Fact_Ventas_Detalle[[#This Row],[Descuento Linea]]</f>
        <v>840000</v>
      </c>
    </row>
    <row r="209" spans="1:11" x14ac:dyDescent="0.25">
      <c r="A209">
        <v>18</v>
      </c>
      <c r="B209" s="17" t="s">
        <v>87</v>
      </c>
      <c r="C209">
        <v>3</v>
      </c>
      <c r="D209" s="17" t="s">
        <v>27</v>
      </c>
      <c r="E209" s="17" t="s">
        <v>28</v>
      </c>
      <c r="F209" s="17" t="s">
        <v>29</v>
      </c>
      <c r="G209">
        <v>3</v>
      </c>
      <c r="H209">
        <v>240000</v>
      </c>
      <c r="I209">
        <v>150000</v>
      </c>
      <c r="J209">
        <v>0</v>
      </c>
      <c r="K209" s="17">
        <f>(Fact_Ventas_Detalle[[#This Row],[Cantidad]]*Fact_Ventas_Detalle[[#This Row],[Precio Unitario]])-Fact_Ventas_Detalle[[#This Row],[Descuento Linea]]</f>
        <v>720000</v>
      </c>
    </row>
    <row r="210" spans="1:11" x14ac:dyDescent="0.25">
      <c r="A210">
        <v>18</v>
      </c>
      <c r="B210" s="17" t="s">
        <v>573</v>
      </c>
      <c r="C210">
        <v>3</v>
      </c>
      <c r="D210" s="17" t="s">
        <v>42</v>
      </c>
      <c r="E210" s="17" t="s">
        <v>43</v>
      </c>
      <c r="F210" s="17" t="s">
        <v>29</v>
      </c>
      <c r="G210">
        <v>2</v>
      </c>
      <c r="H210">
        <v>185000</v>
      </c>
      <c r="I210">
        <v>115000</v>
      </c>
      <c r="J210">
        <v>0</v>
      </c>
      <c r="K210" s="17">
        <f>(Fact_Ventas_Detalle[[#This Row],[Cantidad]]*Fact_Ventas_Detalle[[#This Row],[Precio Unitario]])-Fact_Ventas_Detalle[[#This Row],[Descuento Linea]]</f>
        <v>370000</v>
      </c>
    </row>
    <row r="211" spans="1:11" x14ac:dyDescent="0.25">
      <c r="A211">
        <v>18</v>
      </c>
      <c r="B211" s="17" t="s">
        <v>613</v>
      </c>
      <c r="C211">
        <v>4</v>
      </c>
      <c r="D211" s="17" t="s">
        <v>31</v>
      </c>
      <c r="E211" s="17" t="s">
        <v>32</v>
      </c>
      <c r="F211" s="17" t="s">
        <v>33</v>
      </c>
      <c r="G211">
        <v>1</v>
      </c>
      <c r="H211">
        <v>25000</v>
      </c>
      <c r="I211">
        <v>11000</v>
      </c>
      <c r="J211">
        <v>0</v>
      </c>
      <c r="K211" s="17">
        <f>(Fact_Ventas_Detalle[[#This Row],[Cantidad]]*Fact_Ventas_Detalle[[#This Row],[Precio Unitario]])-Fact_Ventas_Detalle[[#This Row],[Descuento Linea]]</f>
        <v>25000</v>
      </c>
    </row>
    <row r="212" spans="1:11" x14ac:dyDescent="0.25">
      <c r="A212">
        <v>18</v>
      </c>
      <c r="B212" s="17" t="s">
        <v>83</v>
      </c>
      <c r="C212">
        <v>3</v>
      </c>
      <c r="D212" s="17" t="s">
        <v>39</v>
      </c>
      <c r="E212" s="17" t="s">
        <v>40</v>
      </c>
      <c r="F212" s="17" t="s">
        <v>14</v>
      </c>
      <c r="G212">
        <v>3</v>
      </c>
      <c r="H212">
        <v>75000</v>
      </c>
      <c r="I212">
        <v>42000</v>
      </c>
      <c r="J212">
        <v>11250</v>
      </c>
      <c r="K212" s="17">
        <f>(Fact_Ventas_Detalle[[#This Row],[Cantidad]]*Fact_Ventas_Detalle[[#This Row],[Precio Unitario]])-Fact_Ventas_Detalle[[#This Row],[Descuento Linea]]</f>
        <v>213750</v>
      </c>
    </row>
    <row r="213" spans="1:11" x14ac:dyDescent="0.25">
      <c r="A213">
        <v>18</v>
      </c>
      <c r="B213" s="17" t="s">
        <v>85</v>
      </c>
      <c r="C213">
        <v>3</v>
      </c>
      <c r="D213" s="17" t="s">
        <v>12</v>
      </c>
      <c r="E213" s="17" t="s">
        <v>13</v>
      </c>
      <c r="F213" s="17" t="s">
        <v>14</v>
      </c>
      <c r="G213">
        <v>2</v>
      </c>
      <c r="H213">
        <v>280000</v>
      </c>
      <c r="I213">
        <v>190000</v>
      </c>
      <c r="J213">
        <v>28000</v>
      </c>
      <c r="K213" s="17">
        <f>(Fact_Ventas_Detalle[[#This Row],[Cantidad]]*Fact_Ventas_Detalle[[#This Row],[Precio Unitario]])-Fact_Ventas_Detalle[[#This Row],[Descuento Linea]]</f>
        <v>532000</v>
      </c>
    </row>
    <row r="214" spans="1:11" x14ac:dyDescent="0.25">
      <c r="A214">
        <v>18</v>
      </c>
      <c r="B214" s="17" t="s">
        <v>89</v>
      </c>
      <c r="C214">
        <v>2</v>
      </c>
      <c r="D214" s="17" t="s">
        <v>17</v>
      </c>
      <c r="E214" s="17" t="s">
        <v>18</v>
      </c>
      <c r="F214" s="17" t="s">
        <v>19</v>
      </c>
      <c r="G214">
        <v>1</v>
      </c>
      <c r="H214">
        <v>65000</v>
      </c>
      <c r="I214">
        <v>35000</v>
      </c>
      <c r="J214">
        <v>6500</v>
      </c>
      <c r="K214" s="17">
        <f>(Fact_Ventas_Detalle[[#This Row],[Cantidad]]*Fact_Ventas_Detalle[[#This Row],[Precio Unitario]])-Fact_Ventas_Detalle[[#This Row],[Descuento Linea]]</f>
        <v>58500</v>
      </c>
    </row>
    <row r="215" spans="1:11" x14ac:dyDescent="0.25">
      <c r="A215">
        <v>18</v>
      </c>
      <c r="B215" s="17" t="s">
        <v>88</v>
      </c>
      <c r="C215">
        <v>2</v>
      </c>
      <c r="D215" s="17" t="s">
        <v>27</v>
      </c>
      <c r="E215" s="17" t="s">
        <v>28</v>
      </c>
      <c r="F215" s="17" t="s">
        <v>29</v>
      </c>
      <c r="G215">
        <v>2</v>
      </c>
      <c r="H215">
        <v>240000</v>
      </c>
      <c r="I215">
        <v>150000</v>
      </c>
      <c r="J215">
        <v>24000</v>
      </c>
      <c r="K215" s="17">
        <f>(Fact_Ventas_Detalle[[#This Row],[Cantidad]]*Fact_Ventas_Detalle[[#This Row],[Precio Unitario]])-Fact_Ventas_Detalle[[#This Row],[Descuento Linea]]</f>
        <v>456000</v>
      </c>
    </row>
    <row r="216" spans="1:11" x14ac:dyDescent="0.25">
      <c r="A216">
        <v>18</v>
      </c>
      <c r="B216" s="17" t="s">
        <v>420</v>
      </c>
      <c r="C216">
        <v>1</v>
      </c>
      <c r="D216" s="17" t="s">
        <v>12</v>
      </c>
      <c r="E216" s="17" t="s">
        <v>13</v>
      </c>
      <c r="F216" s="17" t="s">
        <v>14</v>
      </c>
      <c r="G216">
        <v>2</v>
      </c>
      <c r="H216">
        <v>280000</v>
      </c>
      <c r="I216">
        <v>190000</v>
      </c>
      <c r="J216">
        <v>56000</v>
      </c>
      <c r="K216" s="17">
        <f>(Fact_Ventas_Detalle[[#This Row],[Cantidad]]*Fact_Ventas_Detalle[[#This Row],[Precio Unitario]])-Fact_Ventas_Detalle[[#This Row],[Descuento Linea]]</f>
        <v>504000</v>
      </c>
    </row>
    <row r="217" spans="1:11" x14ac:dyDescent="0.25">
      <c r="A217">
        <v>18</v>
      </c>
      <c r="B217" s="17" t="s">
        <v>442</v>
      </c>
      <c r="C217">
        <v>1</v>
      </c>
      <c r="D217" s="17" t="s">
        <v>31</v>
      </c>
      <c r="E217" s="17" t="s">
        <v>32</v>
      </c>
      <c r="F217" s="17" t="s">
        <v>33</v>
      </c>
      <c r="G217">
        <v>2</v>
      </c>
      <c r="H217">
        <v>25000</v>
      </c>
      <c r="I217">
        <v>11000</v>
      </c>
      <c r="J217">
        <v>2500</v>
      </c>
      <c r="K217" s="17">
        <f>(Fact_Ventas_Detalle[[#This Row],[Cantidad]]*Fact_Ventas_Detalle[[#This Row],[Precio Unitario]])-Fact_Ventas_Detalle[[#This Row],[Descuento Linea]]</f>
        <v>47500</v>
      </c>
    </row>
    <row r="218" spans="1:11" x14ac:dyDescent="0.25">
      <c r="A218">
        <v>19</v>
      </c>
      <c r="B218" s="17" t="s">
        <v>406</v>
      </c>
      <c r="C218">
        <v>1</v>
      </c>
      <c r="D218" s="17" t="s">
        <v>24</v>
      </c>
      <c r="E218" s="17" t="s">
        <v>25</v>
      </c>
      <c r="F218" s="17" t="s">
        <v>14</v>
      </c>
      <c r="G218">
        <v>3</v>
      </c>
      <c r="H218">
        <v>850000</v>
      </c>
      <c r="I218">
        <v>620000</v>
      </c>
      <c r="J218">
        <v>0</v>
      </c>
      <c r="K218" s="17">
        <f>(Fact_Ventas_Detalle[[#This Row],[Cantidad]]*Fact_Ventas_Detalle[[#This Row],[Precio Unitario]])-Fact_Ventas_Detalle[[#This Row],[Descuento Linea]]</f>
        <v>2550000</v>
      </c>
    </row>
    <row r="219" spans="1:11" x14ac:dyDescent="0.25">
      <c r="A219">
        <v>19</v>
      </c>
      <c r="B219" s="17" t="s">
        <v>91</v>
      </c>
      <c r="C219">
        <v>1</v>
      </c>
      <c r="D219" s="17" t="s">
        <v>39</v>
      </c>
      <c r="E219" s="17" t="s">
        <v>40</v>
      </c>
      <c r="F219" s="17" t="s">
        <v>14</v>
      </c>
      <c r="G219">
        <v>1</v>
      </c>
      <c r="H219">
        <v>75000</v>
      </c>
      <c r="I219">
        <v>42000</v>
      </c>
      <c r="J219">
        <v>0</v>
      </c>
      <c r="K219" s="17">
        <f>(Fact_Ventas_Detalle[[#This Row],[Cantidad]]*Fact_Ventas_Detalle[[#This Row],[Precio Unitario]])-Fact_Ventas_Detalle[[#This Row],[Descuento Linea]]</f>
        <v>75000</v>
      </c>
    </row>
    <row r="220" spans="1:11" x14ac:dyDescent="0.25">
      <c r="A220">
        <v>19</v>
      </c>
      <c r="B220" s="17" t="s">
        <v>92</v>
      </c>
      <c r="C220">
        <v>1</v>
      </c>
      <c r="D220" s="17" t="s">
        <v>17</v>
      </c>
      <c r="E220" s="17" t="s">
        <v>18</v>
      </c>
      <c r="F220" s="17" t="s">
        <v>19</v>
      </c>
      <c r="G220">
        <v>2</v>
      </c>
      <c r="H220">
        <v>65000</v>
      </c>
      <c r="I220">
        <v>35000</v>
      </c>
      <c r="J220">
        <v>0</v>
      </c>
      <c r="K220" s="17">
        <f>(Fact_Ventas_Detalle[[#This Row],[Cantidad]]*Fact_Ventas_Detalle[[#This Row],[Precio Unitario]])-Fact_Ventas_Detalle[[#This Row],[Descuento Linea]]</f>
        <v>130000</v>
      </c>
    </row>
    <row r="221" spans="1:11" x14ac:dyDescent="0.25">
      <c r="A221">
        <v>19</v>
      </c>
      <c r="B221" s="17" t="s">
        <v>90</v>
      </c>
      <c r="C221">
        <v>2</v>
      </c>
      <c r="D221" s="17" t="s">
        <v>17</v>
      </c>
      <c r="E221" s="17" t="s">
        <v>18</v>
      </c>
      <c r="F221" s="17" t="s">
        <v>19</v>
      </c>
      <c r="G221">
        <v>2</v>
      </c>
      <c r="H221">
        <v>65000</v>
      </c>
      <c r="I221">
        <v>35000</v>
      </c>
      <c r="J221">
        <v>0</v>
      </c>
      <c r="K221" s="17">
        <f>(Fact_Ventas_Detalle[[#This Row],[Cantidad]]*Fact_Ventas_Detalle[[#This Row],[Precio Unitario]])-Fact_Ventas_Detalle[[#This Row],[Descuento Linea]]</f>
        <v>130000</v>
      </c>
    </row>
    <row r="222" spans="1:11" x14ac:dyDescent="0.25">
      <c r="A222">
        <v>19</v>
      </c>
      <c r="B222" s="17" t="s">
        <v>89</v>
      </c>
      <c r="C222">
        <v>3</v>
      </c>
      <c r="D222" s="17" t="s">
        <v>17</v>
      </c>
      <c r="E222" s="17" t="s">
        <v>18</v>
      </c>
      <c r="F222" s="17" t="s">
        <v>19</v>
      </c>
      <c r="G222">
        <v>1</v>
      </c>
      <c r="H222">
        <v>65000</v>
      </c>
      <c r="I222">
        <v>35000</v>
      </c>
      <c r="J222">
        <v>0</v>
      </c>
      <c r="K222" s="17">
        <f>(Fact_Ventas_Detalle[[#This Row],[Cantidad]]*Fact_Ventas_Detalle[[#This Row],[Precio Unitario]])-Fact_Ventas_Detalle[[#This Row],[Descuento Linea]]</f>
        <v>65000</v>
      </c>
    </row>
    <row r="223" spans="1:11" x14ac:dyDescent="0.25">
      <c r="A223">
        <v>19</v>
      </c>
      <c r="B223" s="17" t="s">
        <v>86</v>
      </c>
      <c r="C223">
        <v>4</v>
      </c>
      <c r="D223" s="17" t="s">
        <v>17</v>
      </c>
      <c r="E223" s="17" t="s">
        <v>18</v>
      </c>
      <c r="F223" s="17" t="s">
        <v>19</v>
      </c>
      <c r="G223">
        <v>3</v>
      </c>
      <c r="H223">
        <v>65000</v>
      </c>
      <c r="I223">
        <v>35000</v>
      </c>
      <c r="J223">
        <v>9750</v>
      </c>
      <c r="K223" s="17">
        <f>(Fact_Ventas_Detalle[[#This Row],[Cantidad]]*Fact_Ventas_Detalle[[#This Row],[Precio Unitario]])-Fact_Ventas_Detalle[[#This Row],[Descuento Linea]]</f>
        <v>185250</v>
      </c>
    </row>
    <row r="224" spans="1:11" x14ac:dyDescent="0.25">
      <c r="A224">
        <v>19</v>
      </c>
      <c r="B224" s="17" t="s">
        <v>83</v>
      </c>
      <c r="C224">
        <v>4</v>
      </c>
      <c r="D224" s="17" t="s">
        <v>39</v>
      </c>
      <c r="E224" s="17" t="s">
        <v>40</v>
      </c>
      <c r="F224" s="17" t="s">
        <v>14</v>
      </c>
      <c r="G224">
        <v>3</v>
      </c>
      <c r="H224">
        <v>75000</v>
      </c>
      <c r="I224">
        <v>42000</v>
      </c>
      <c r="J224">
        <v>22500</v>
      </c>
      <c r="K224" s="17">
        <f>(Fact_Ventas_Detalle[[#This Row],[Cantidad]]*Fact_Ventas_Detalle[[#This Row],[Precio Unitario]])-Fact_Ventas_Detalle[[#This Row],[Descuento Linea]]</f>
        <v>202500</v>
      </c>
    </row>
    <row r="225" spans="1:11" x14ac:dyDescent="0.25">
      <c r="A225">
        <v>19</v>
      </c>
      <c r="B225" s="17" t="s">
        <v>87</v>
      </c>
      <c r="C225">
        <v>4</v>
      </c>
      <c r="D225" s="17" t="s">
        <v>42</v>
      </c>
      <c r="E225" s="17" t="s">
        <v>43</v>
      </c>
      <c r="F225" s="17" t="s">
        <v>29</v>
      </c>
      <c r="G225">
        <v>3</v>
      </c>
      <c r="H225">
        <v>185000</v>
      </c>
      <c r="I225">
        <v>115000</v>
      </c>
      <c r="J225">
        <v>27750</v>
      </c>
      <c r="K225" s="17">
        <f>(Fact_Ventas_Detalle[[#This Row],[Cantidad]]*Fact_Ventas_Detalle[[#This Row],[Precio Unitario]])-Fact_Ventas_Detalle[[#This Row],[Descuento Linea]]</f>
        <v>527250</v>
      </c>
    </row>
    <row r="226" spans="1:11" x14ac:dyDescent="0.25">
      <c r="A226">
        <v>19</v>
      </c>
      <c r="B226" s="17" t="s">
        <v>420</v>
      </c>
      <c r="C226">
        <v>2</v>
      </c>
      <c r="D226" s="17" t="s">
        <v>42</v>
      </c>
      <c r="E226" s="17" t="s">
        <v>43</v>
      </c>
      <c r="F226" s="17" t="s">
        <v>29</v>
      </c>
      <c r="G226">
        <v>1</v>
      </c>
      <c r="H226">
        <v>185000</v>
      </c>
      <c r="I226">
        <v>115000</v>
      </c>
      <c r="J226">
        <v>9250</v>
      </c>
      <c r="K226" s="17">
        <f>(Fact_Ventas_Detalle[[#This Row],[Cantidad]]*Fact_Ventas_Detalle[[#This Row],[Precio Unitario]])-Fact_Ventas_Detalle[[#This Row],[Descuento Linea]]</f>
        <v>175750</v>
      </c>
    </row>
    <row r="227" spans="1:11" x14ac:dyDescent="0.25">
      <c r="A227">
        <v>19</v>
      </c>
      <c r="B227" s="17" t="s">
        <v>442</v>
      </c>
      <c r="C227">
        <v>2</v>
      </c>
      <c r="D227" s="17" t="s">
        <v>24</v>
      </c>
      <c r="E227" s="17" t="s">
        <v>25</v>
      </c>
      <c r="F227" s="17" t="s">
        <v>14</v>
      </c>
      <c r="G227">
        <v>2</v>
      </c>
      <c r="H227">
        <v>850000</v>
      </c>
      <c r="I227">
        <v>620000</v>
      </c>
      <c r="J227">
        <v>170000</v>
      </c>
      <c r="K227" s="17">
        <f>(Fact_Ventas_Detalle[[#This Row],[Cantidad]]*Fact_Ventas_Detalle[[#This Row],[Precio Unitario]])-Fact_Ventas_Detalle[[#This Row],[Descuento Linea]]</f>
        <v>1530000</v>
      </c>
    </row>
    <row r="228" spans="1:11" x14ac:dyDescent="0.25">
      <c r="A228">
        <v>19</v>
      </c>
      <c r="B228" s="17" t="s">
        <v>93</v>
      </c>
      <c r="C228">
        <v>1</v>
      </c>
      <c r="D228" s="17" t="s">
        <v>12</v>
      </c>
      <c r="E228" s="17" t="s">
        <v>13</v>
      </c>
      <c r="F228" s="17" t="s">
        <v>14</v>
      </c>
      <c r="G228">
        <v>3</v>
      </c>
      <c r="H228">
        <v>280000</v>
      </c>
      <c r="I228">
        <v>190000</v>
      </c>
      <c r="J228">
        <v>42000</v>
      </c>
      <c r="K228" s="17">
        <f>(Fact_Ventas_Detalle[[#This Row],[Cantidad]]*Fact_Ventas_Detalle[[#This Row],[Precio Unitario]])-Fact_Ventas_Detalle[[#This Row],[Descuento Linea]]</f>
        <v>798000</v>
      </c>
    </row>
    <row r="229" spans="1:11" x14ac:dyDescent="0.25">
      <c r="A229">
        <v>19</v>
      </c>
      <c r="B229" s="17" t="s">
        <v>575</v>
      </c>
      <c r="C229">
        <v>1</v>
      </c>
      <c r="D229" s="17" t="s">
        <v>37</v>
      </c>
      <c r="E229" s="17" t="s">
        <v>38</v>
      </c>
      <c r="F229" s="17" t="s">
        <v>33</v>
      </c>
      <c r="G229">
        <v>1</v>
      </c>
      <c r="H229">
        <v>45000</v>
      </c>
      <c r="I229">
        <v>22000</v>
      </c>
      <c r="J229">
        <v>2250</v>
      </c>
      <c r="K229" s="17">
        <f>(Fact_Ventas_Detalle[[#This Row],[Cantidad]]*Fact_Ventas_Detalle[[#This Row],[Precio Unitario]])-Fact_Ventas_Detalle[[#This Row],[Descuento Linea]]</f>
        <v>42750</v>
      </c>
    </row>
    <row r="230" spans="1:11" x14ac:dyDescent="0.25">
      <c r="A230">
        <v>20</v>
      </c>
      <c r="B230" s="17" t="s">
        <v>94</v>
      </c>
      <c r="C230">
        <v>1</v>
      </c>
      <c r="D230" s="17" t="s">
        <v>17</v>
      </c>
      <c r="E230" s="17" t="s">
        <v>18</v>
      </c>
      <c r="F230" s="17" t="s">
        <v>19</v>
      </c>
      <c r="G230">
        <v>3</v>
      </c>
      <c r="H230">
        <v>65000</v>
      </c>
      <c r="I230">
        <v>35000</v>
      </c>
      <c r="J230">
        <v>0</v>
      </c>
      <c r="K230" s="17">
        <f>(Fact_Ventas_Detalle[[#This Row],[Cantidad]]*Fact_Ventas_Detalle[[#This Row],[Precio Unitario]])-Fact_Ventas_Detalle[[#This Row],[Descuento Linea]]</f>
        <v>195000</v>
      </c>
    </row>
    <row r="231" spans="1:11" x14ac:dyDescent="0.25">
      <c r="A231">
        <v>20</v>
      </c>
      <c r="B231" s="17" t="s">
        <v>95</v>
      </c>
      <c r="C231">
        <v>1</v>
      </c>
      <c r="D231" s="17" t="s">
        <v>31</v>
      </c>
      <c r="E231" s="17" t="s">
        <v>32</v>
      </c>
      <c r="F231" s="17" t="s">
        <v>33</v>
      </c>
      <c r="G231">
        <v>3</v>
      </c>
      <c r="H231">
        <v>25000</v>
      </c>
      <c r="I231">
        <v>11000</v>
      </c>
      <c r="J231">
        <v>0</v>
      </c>
      <c r="K231" s="17">
        <f>(Fact_Ventas_Detalle[[#This Row],[Cantidad]]*Fact_Ventas_Detalle[[#This Row],[Precio Unitario]])-Fact_Ventas_Detalle[[#This Row],[Descuento Linea]]</f>
        <v>75000</v>
      </c>
    </row>
    <row r="232" spans="1:11" x14ac:dyDescent="0.25">
      <c r="A232">
        <v>20</v>
      </c>
      <c r="B232" s="17" t="s">
        <v>96</v>
      </c>
      <c r="C232">
        <v>1</v>
      </c>
      <c r="D232" s="17" t="s">
        <v>39</v>
      </c>
      <c r="E232" s="17" t="s">
        <v>40</v>
      </c>
      <c r="F232" s="17" t="s">
        <v>14</v>
      </c>
      <c r="G232">
        <v>1</v>
      </c>
      <c r="H232">
        <v>75000</v>
      </c>
      <c r="I232">
        <v>42000</v>
      </c>
      <c r="J232">
        <v>0</v>
      </c>
      <c r="K232" s="17">
        <f>(Fact_Ventas_Detalle[[#This Row],[Cantidad]]*Fact_Ventas_Detalle[[#This Row],[Precio Unitario]])-Fact_Ventas_Detalle[[#This Row],[Descuento Linea]]</f>
        <v>75000</v>
      </c>
    </row>
    <row r="233" spans="1:11" x14ac:dyDescent="0.25">
      <c r="A233">
        <v>20</v>
      </c>
      <c r="B233" s="17" t="s">
        <v>797</v>
      </c>
      <c r="C233">
        <v>1</v>
      </c>
      <c r="D233" s="17" t="s">
        <v>37</v>
      </c>
      <c r="E233" s="17" t="s">
        <v>38</v>
      </c>
      <c r="F233" s="17" t="s">
        <v>33</v>
      </c>
      <c r="G233">
        <v>2</v>
      </c>
      <c r="H233">
        <v>45000</v>
      </c>
      <c r="I233">
        <v>22000</v>
      </c>
      <c r="J233">
        <v>0</v>
      </c>
      <c r="K233" s="17">
        <f>(Fact_Ventas_Detalle[[#This Row],[Cantidad]]*Fact_Ventas_Detalle[[#This Row],[Precio Unitario]])-Fact_Ventas_Detalle[[#This Row],[Descuento Linea]]</f>
        <v>90000</v>
      </c>
    </row>
    <row r="234" spans="1:11" x14ac:dyDescent="0.25">
      <c r="A234">
        <v>20</v>
      </c>
      <c r="B234" s="17" t="s">
        <v>93</v>
      </c>
      <c r="C234">
        <v>2</v>
      </c>
      <c r="D234" s="17" t="s">
        <v>12</v>
      </c>
      <c r="E234" s="17" t="s">
        <v>13</v>
      </c>
      <c r="F234" s="17" t="s">
        <v>14</v>
      </c>
      <c r="G234">
        <v>2</v>
      </c>
      <c r="H234">
        <v>280000</v>
      </c>
      <c r="I234">
        <v>190000</v>
      </c>
      <c r="J234">
        <v>0</v>
      </c>
      <c r="K234" s="17">
        <f>(Fact_Ventas_Detalle[[#This Row],[Cantidad]]*Fact_Ventas_Detalle[[#This Row],[Precio Unitario]])-Fact_Ventas_Detalle[[#This Row],[Descuento Linea]]</f>
        <v>560000</v>
      </c>
    </row>
    <row r="235" spans="1:11" x14ac:dyDescent="0.25">
      <c r="A235">
        <v>20</v>
      </c>
      <c r="B235" s="17" t="s">
        <v>90</v>
      </c>
      <c r="C235">
        <v>3</v>
      </c>
      <c r="D235" s="17" t="s">
        <v>42</v>
      </c>
      <c r="E235" s="17" t="s">
        <v>43</v>
      </c>
      <c r="F235" s="17" t="s">
        <v>29</v>
      </c>
      <c r="G235">
        <v>2</v>
      </c>
      <c r="H235">
        <v>185000</v>
      </c>
      <c r="I235">
        <v>115000</v>
      </c>
      <c r="J235">
        <v>0</v>
      </c>
      <c r="K235" s="17">
        <f>(Fact_Ventas_Detalle[[#This Row],[Cantidad]]*Fact_Ventas_Detalle[[#This Row],[Precio Unitario]])-Fact_Ventas_Detalle[[#This Row],[Descuento Linea]]</f>
        <v>370000</v>
      </c>
    </row>
    <row r="236" spans="1:11" x14ac:dyDescent="0.25">
      <c r="A236">
        <v>20</v>
      </c>
      <c r="B236" s="17" t="s">
        <v>89</v>
      </c>
      <c r="C236">
        <v>4</v>
      </c>
      <c r="D236" s="17" t="s">
        <v>39</v>
      </c>
      <c r="E236" s="17" t="s">
        <v>40</v>
      </c>
      <c r="F236" s="17" t="s">
        <v>14</v>
      </c>
      <c r="G236">
        <v>2</v>
      </c>
      <c r="H236">
        <v>75000</v>
      </c>
      <c r="I236">
        <v>42000</v>
      </c>
      <c r="J236">
        <v>0</v>
      </c>
      <c r="K236" s="17">
        <f>(Fact_Ventas_Detalle[[#This Row],[Cantidad]]*Fact_Ventas_Detalle[[#This Row],[Precio Unitario]])-Fact_Ventas_Detalle[[#This Row],[Descuento Linea]]</f>
        <v>150000</v>
      </c>
    </row>
    <row r="237" spans="1:11" x14ac:dyDescent="0.25">
      <c r="A237">
        <v>20</v>
      </c>
      <c r="B237" s="17" t="s">
        <v>420</v>
      </c>
      <c r="C237">
        <v>3</v>
      </c>
      <c r="D237" s="17" t="s">
        <v>27</v>
      </c>
      <c r="E237" s="17" t="s">
        <v>28</v>
      </c>
      <c r="F237" s="17" t="s">
        <v>29</v>
      </c>
      <c r="G237">
        <v>2</v>
      </c>
      <c r="H237">
        <v>240000</v>
      </c>
      <c r="I237">
        <v>150000</v>
      </c>
      <c r="J237">
        <v>24000</v>
      </c>
      <c r="K237" s="17">
        <f>(Fact_Ventas_Detalle[[#This Row],[Cantidad]]*Fact_Ventas_Detalle[[#This Row],[Precio Unitario]])-Fact_Ventas_Detalle[[#This Row],[Descuento Linea]]</f>
        <v>456000</v>
      </c>
    </row>
    <row r="238" spans="1:11" x14ac:dyDescent="0.25">
      <c r="A238">
        <v>20</v>
      </c>
      <c r="B238" s="17" t="s">
        <v>92</v>
      </c>
      <c r="C238">
        <v>2</v>
      </c>
      <c r="D238" s="17" t="s">
        <v>24</v>
      </c>
      <c r="E238" s="17" t="s">
        <v>25</v>
      </c>
      <c r="F238" s="17" t="s">
        <v>14</v>
      </c>
      <c r="G238">
        <v>1</v>
      </c>
      <c r="H238">
        <v>850000</v>
      </c>
      <c r="I238">
        <v>620000</v>
      </c>
      <c r="J238">
        <v>42500</v>
      </c>
      <c r="K238" s="17">
        <f>(Fact_Ventas_Detalle[[#This Row],[Cantidad]]*Fact_Ventas_Detalle[[#This Row],[Precio Unitario]])-Fact_Ventas_Detalle[[#This Row],[Descuento Linea]]</f>
        <v>807500</v>
      </c>
    </row>
    <row r="239" spans="1:11" x14ac:dyDescent="0.25">
      <c r="A239">
        <v>20</v>
      </c>
      <c r="B239" s="17" t="s">
        <v>97</v>
      </c>
      <c r="C239">
        <v>1</v>
      </c>
      <c r="D239" s="17" t="s">
        <v>17</v>
      </c>
      <c r="E239" s="17" t="s">
        <v>18</v>
      </c>
      <c r="F239" s="17" t="s">
        <v>19</v>
      </c>
      <c r="G239">
        <v>3</v>
      </c>
      <c r="H239">
        <v>65000</v>
      </c>
      <c r="I239">
        <v>35000</v>
      </c>
      <c r="J239">
        <v>19500</v>
      </c>
      <c r="K239" s="17">
        <f>(Fact_Ventas_Detalle[[#This Row],[Cantidad]]*Fact_Ventas_Detalle[[#This Row],[Precio Unitario]])-Fact_Ventas_Detalle[[#This Row],[Descuento Linea]]</f>
        <v>175500</v>
      </c>
    </row>
    <row r="240" spans="1:11" x14ac:dyDescent="0.25">
      <c r="A240">
        <v>20</v>
      </c>
      <c r="B240" s="17" t="s">
        <v>827</v>
      </c>
      <c r="C240">
        <v>1</v>
      </c>
      <c r="D240" s="17" t="s">
        <v>17</v>
      </c>
      <c r="E240" s="17" t="s">
        <v>18</v>
      </c>
      <c r="F240" s="17" t="s">
        <v>19</v>
      </c>
      <c r="G240">
        <v>3</v>
      </c>
      <c r="H240">
        <v>65000</v>
      </c>
      <c r="I240">
        <v>35000</v>
      </c>
      <c r="J240">
        <v>19500</v>
      </c>
      <c r="K240" s="17">
        <f>(Fact_Ventas_Detalle[[#This Row],[Cantidad]]*Fact_Ventas_Detalle[[#This Row],[Precio Unitario]])-Fact_Ventas_Detalle[[#This Row],[Descuento Linea]]</f>
        <v>175500</v>
      </c>
    </row>
    <row r="241" spans="1:11" x14ac:dyDescent="0.25">
      <c r="A241">
        <v>20</v>
      </c>
      <c r="B241" s="17" t="s">
        <v>819</v>
      </c>
      <c r="C241">
        <v>1</v>
      </c>
      <c r="D241" s="17" t="s">
        <v>37</v>
      </c>
      <c r="E241" s="17" t="s">
        <v>38</v>
      </c>
      <c r="F241" s="17" t="s">
        <v>33</v>
      </c>
      <c r="G241">
        <v>1</v>
      </c>
      <c r="H241">
        <v>45000</v>
      </c>
      <c r="I241">
        <v>22000</v>
      </c>
      <c r="J241">
        <v>2250</v>
      </c>
      <c r="K241" s="17">
        <f>(Fact_Ventas_Detalle[[#This Row],[Cantidad]]*Fact_Ventas_Detalle[[#This Row],[Precio Unitario]])-Fact_Ventas_Detalle[[#This Row],[Descuento Linea]]</f>
        <v>42750</v>
      </c>
    </row>
    <row r="242" spans="1:11" x14ac:dyDescent="0.25">
      <c r="A242">
        <v>21</v>
      </c>
      <c r="B242" s="17" t="s">
        <v>100</v>
      </c>
      <c r="C242">
        <v>1</v>
      </c>
      <c r="D242" s="17" t="s">
        <v>12</v>
      </c>
      <c r="E242" s="17" t="s">
        <v>13</v>
      </c>
      <c r="F242" s="17" t="s">
        <v>14</v>
      </c>
      <c r="G242">
        <v>3</v>
      </c>
      <c r="H242">
        <v>280000</v>
      </c>
      <c r="I242">
        <v>190000</v>
      </c>
      <c r="J242">
        <v>0</v>
      </c>
      <c r="K242" s="17">
        <f>(Fact_Ventas_Detalle[[#This Row],[Cantidad]]*Fact_Ventas_Detalle[[#This Row],[Precio Unitario]])-Fact_Ventas_Detalle[[#This Row],[Descuento Linea]]</f>
        <v>840000</v>
      </c>
    </row>
    <row r="243" spans="1:11" x14ac:dyDescent="0.25">
      <c r="A243">
        <v>21</v>
      </c>
      <c r="B243" s="17" t="s">
        <v>98</v>
      </c>
      <c r="C243">
        <v>1</v>
      </c>
      <c r="D243" s="17" t="s">
        <v>42</v>
      </c>
      <c r="E243" s="17" t="s">
        <v>43</v>
      </c>
      <c r="F243" s="17" t="s">
        <v>29</v>
      </c>
      <c r="G243">
        <v>2</v>
      </c>
      <c r="H243">
        <v>185000</v>
      </c>
      <c r="I243">
        <v>115000</v>
      </c>
      <c r="J243">
        <v>0</v>
      </c>
      <c r="K243" s="17">
        <f>(Fact_Ventas_Detalle[[#This Row],[Cantidad]]*Fact_Ventas_Detalle[[#This Row],[Precio Unitario]])-Fact_Ventas_Detalle[[#This Row],[Descuento Linea]]</f>
        <v>370000</v>
      </c>
    </row>
    <row r="244" spans="1:11" x14ac:dyDescent="0.25">
      <c r="A244">
        <v>21</v>
      </c>
      <c r="B244" s="17" t="s">
        <v>99</v>
      </c>
      <c r="C244">
        <v>1</v>
      </c>
      <c r="D244" s="17" t="s">
        <v>17</v>
      </c>
      <c r="E244" s="17" t="s">
        <v>18</v>
      </c>
      <c r="F244" s="17" t="s">
        <v>19</v>
      </c>
      <c r="G244">
        <v>2</v>
      </c>
      <c r="H244">
        <v>65000</v>
      </c>
      <c r="I244">
        <v>35000</v>
      </c>
      <c r="J244">
        <v>0</v>
      </c>
      <c r="K244" s="17">
        <f>(Fact_Ventas_Detalle[[#This Row],[Cantidad]]*Fact_Ventas_Detalle[[#This Row],[Precio Unitario]])-Fact_Ventas_Detalle[[#This Row],[Descuento Linea]]</f>
        <v>130000</v>
      </c>
    </row>
    <row r="245" spans="1:11" x14ac:dyDescent="0.25">
      <c r="A245">
        <v>21</v>
      </c>
      <c r="B245" s="17" t="s">
        <v>716</v>
      </c>
      <c r="C245">
        <v>1</v>
      </c>
      <c r="D245" s="17" t="s">
        <v>27</v>
      </c>
      <c r="E245" s="17" t="s">
        <v>28</v>
      </c>
      <c r="F245" s="17" t="s">
        <v>29</v>
      </c>
      <c r="G245">
        <v>2</v>
      </c>
      <c r="H245">
        <v>240000</v>
      </c>
      <c r="I245">
        <v>150000</v>
      </c>
      <c r="J245">
        <v>0</v>
      </c>
      <c r="K245" s="17">
        <f>(Fact_Ventas_Detalle[[#This Row],[Cantidad]]*Fact_Ventas_Detalle[[#This Row],[Precio Unitario]])-Fact_Ventas_Detalle[[#This Row],[Descuento Linea]]</f>
        <v>480000</v>
      </c>
    </row>
    <row r="246" spans="1:11" x14ac:dyDescent="0.25">
      <c r="A246">
        <v>21</v>
      </c>
      <c r="B246" s="17" t="s">
        <v>95</v>
      </c>
      <c r="C246">
        <v>2</v>
      </c>
      <c r="D246" s="17" t="s">
        <v>12</v>
      </c>
      <c r="E246" s="17" t="s">
        <v>13</v>
      </c>
      <c r="F246" s="17" t="s">
        <v>14</v>
      </c>
      <c r="G246">
        <v>2</v>
      </c>
      <c r="H246">
        <v>280000</v>
      </c>
      <c r="I246">
        <v>190000</v>
      </c>
      <c r="J246">
        <v>0</v>
      </c>
      <c r="K246" s="17">
        <f>(Fact_Ventas_Detalle[[#This Row],[Cantidad]]*Fact_Ventas_Detalle[[#This Row],[Precio Unitario]])-Fact_Ventas_Detalle[[#This Row],[Descuento Linea]]</f>
        <v>560000</v>
      </c>
    </row>
    <row r="247" spans="1:11" x14ac:dyDescent="0.25">
      <c r="A247">
        <v>21</v>
      </c>
      <c r="B247" s="17" t="s">
        <v>797</v>
      </c>
      <c r="C247">
        <v>2</v>
      </c>
      <c r="D247" s="17" t="s">
        <v>39</v>
      </c>
      <c r="E247" s="17" t="s">
        <v>40</v>
      </c>
      <c r="F247" s="17" t="s">
        <v>14</v>
      </c>
      <c r="G247">
        <v>3</v>
      </c>
      <c r="H247">
        <v>75000</v>
      </c>
      <c r="I247">
        <v>42000</v>
      </c>
      <c r="J247">
        <v>0</v>
      </c>
      <c r="K247" s="17">
        <f>(Fact_Ventas_Detalle[[#This Row],[Cantidad]]*Fact_Ventas_Detalle[[#This Row],[Precio Unitario]])-Fact_Ventas_Detalle[[#This Row],[Descuento Linea]]</f>
        <v>225000</v>
      </c>
    </row>
    <row r="248" spans="1:11" x14ac:dyDescent="0.25">
      <c r="A248">
        <v>21</v>
      </c>
      <c r="B248" s="17" t="s">
        <v>92</v>
      </c>
      <c r="C248">
        <v>3</v>
      </c>
      <c r="D248" s="17" t="s">
        <v>27</v>
      </c>
      <c r="E248" s="17" t="s">
        <v>28</v>
      </c>
      <c r="F248" s="17" t="s">
        <v>29</v>
      </c>
      <c r="G248">
        <v>3</v>
      </c>
      <c r="H248">
        <v>240000</v>
      </c>
      <c r="I248">
        <v>150000</v>
      </c>
      <c r="J248">
        <v>0</v>
      </c>
      <c r="K248" s="17">
        <f>(Fact_Ventas_Detalle[[#This Row],[Cantidad]]*Fact_Ventas_Detalle[[#This Row],[Precio Unitario]])-Fact_Ventas_Detalle[[#This Row],[Descuento Linea]]</f>
        <v>720000</v>
      </c>
    </row>
    <row r="249" spans="1:11" x14ac:dyDescent="0.25">
      <c r="A249">
        <v>21</v>
      </c>
      <c r="B249" s="17" t="s">
        <v>90</v>
      </c>
      <c r="C249">
        <v>4</v>
      </c>
      <c r="D249" s="17" t="s">
        <v>42</v>
      </c>
      <c r="E249" s="17" t="s">
        <v>43</v>
      </c>
      <c r="F249" s="17" t="s">
        <v>29</v>
      </c>
      <c r="G249">
        <v>2</v>
      </c>
      <c r="H249">
        <v>185000</v>
      </c>
      <c r="I249">
        <v>115000</v>
      </c>
      <c r="J249">
        <v>37000</v>
      </c>
      <c r="K249" s="17">
        <f>(Fact_Ventas_Detalle[[#This Row],[Cantidad]]*Fact_Ventas_Detalle[[#This Row],[Precio Unitario]])-Fact_Ventas_Detalle[[#This Row],[Descuento Linea]]</f>
        <v>333000</v>
      </c>
    </row>
    <row r="250" spans="1:11" x14ac:dyDescent="0.25">
      <c r="A250">
        <v>21</v>
      </c>
      <c r="B250" s="17" t="s">
        <v>97</v>
      </c>
      <c r="C250">
        <v>2</v>
      </c>
      <c r="D250" s="17" t="s">
        <v>31</v>
      </c>
      <c r="E250" s="17" t="s">
        <v>32</v>
      </c>
      <c r="F250" s="17" t="s">
        <v>33</v>
      </c>
      <c r="G250">
        <v>2</v>
      </c>
      <c r="H250">
        <v>25000</v>
      </c>
      <c r="I250">
        <v>11000</v>
      </c>
      <c r="J250">
        <v>5000</v>
      </c>
      <c r="K250" s="17">
        <f>(Fact_Ventas_Detalle[[#This Row],[Cantidad]]*Fact_Ventas_Detalle[[#This Row],[Precio Unitario]])-Fact_Ventas_Detalle[[#This Row],[Descuento Linea]]</f>
        <v>45000</v>
      </c>
    </row>
    <row r="251" spans="1:11" x14ac:dyDescent="0.25">
      <c r="A251">
        <v>21</v>
      </c>
      <c r="B251" s="17" t="s">
        <v>827</v>
      </c>
      <c r="C251">
        <v>2</v>
      </c>
      <c r="D251" s="17" t="s">
        <v>42</v>
      </c>
      <c r="E251" s="17" t="s">
        <v>43</v>
      </c>
      <c r="F251" s="17" t="s">
        <v>29</v>
      </c>
      <c r="G251">
        <v>1</v>
      </c>
      <c r="H251">
        <v>185000</v>
      </c>
      <c r="I251">
        <v>115000</v>
      </c>
      <c r="J251">
        <v>18500</v>
      </c>
      <c r="K251" s="17">
        <f>(Fact_Ventas_Detalle[[#This Row],[Cantidad]]*Fact_Ventas_Detalle[[#This Row],[Precio Unitario]])-Fact_Ventas_Detalle[[#This Row],[Descuento Linea]]</f>
        <v>166500</v>
      </c>
    </row>
    <row r="252" spans="1:11" x14ac:dyDescent="0.25">
      <c r="A252">
        <v>21</v>
      </c>
      <c r="B252" s="17" t="s">
        <v>101</v>
      </c>
      <c r="C252">
        <v>1</v>
      </c>
      <c r="D252" s="17" t="s">
        <v>39</v>
      </c>
      <c r="E252" s="17" t="s">
        <v>40</v>
      </c>
      <c r="F252" s="17" t="s">
        <v>14</v>
      </c>
      <c r="G252">
        <v>3</v>
      </c>
      <c r="H252">
        <v>75000</v>
      </c>
      <c r="I252">
        <v>42000</v>
      </c>
      <c r="J252">
        <v>11250</v>
      </c>
      <c r="K252" s="17">
        <f>(Fact_Ventas_Detalle[[#This Row],[Cantidad]]*Fact_Ventas_Detalle[[#This Row],[Precio Unitario]])-Fact_Ventas_Detalle[[#This Row],[Descuento Linea]]</f>
        <v>213750</v>
      </c>
    </row>
    <row r="253" spans="1:11" x14ac:dyDescent="0.25">
      <c r="A253">
        <v>21</v>
      </c>
      <c r="B253" s="17" t="s">
        <v>537</v>
      </c>
      <c r="C253">
        <v>1</v>
      </c>
      <c r="D253" s="17" t="s">
        <v>17</v>
      </c>
      <c r="E253" s="17" t="s">
        <v>18</v>
      </c>
      <c r="F253" s="17" t="s">
        <v>19</v>
      </c>
      <c r="G253">
        <v>1</v>
      </c>
      <c r="H253">
        <v>65000</v>
      </c>
      <c r="I253">
        <v>35000</v>
      </c>
      <c r="J253">
        <v>6500</v>
      </c>
      <c r="K253" s="17">
        <f>(Fact_Ventas_Detalle[[#This Row],[Cantidad]]*Fact_Ventas_Detalle[[#This Row],[Precio Unitario]])-Fact_Ventas_Detalle[[#This Row],[Descuento Linea]]</f>
        <v>58500</v>
      </c>
    </row>
    <row r="254" spans="1:11" x14ac:dyDescent="0.25">
      <c r="A254">
        <v>22</v>
      </c>
      <c r="B254" s="17" t="s">
        <v>102</v>
      </c>
      <c r="C254">
        <v>1</v>
      </c>
      <c r="D254" s="17" t="s">
        <v>12</v>
      </c>
      <c r="E254" s="17" t="s">
        <v>13</v>
      </c>
      <c r="F254" s="17" t="s">
        <v>14</v>
      </c>
      <c r="G254">
        <v>3</v>
      </c>
      <c r="H254">
        <v>280000</v>
      </c>
      <c r="I254">
        <v>190000</v>
      </c>
      <c r="J254">
        <v>0</v>
      </c>
      <c r="K254" s="17">
        <f>(Fact_Ventas_Detalle[[#This Row],[Cantidad]]*Fact_Ventas_Detalle[[#This Row],[Precio Unitario]])-Fact_Ventas_Detalle[[#This Row],[Descuento Linea]]</f>
        <v>840000</v>
      </c>
    </row>
    <row r="255" spans="1:11" x14ac:dyDescent="0.25">
      <c r="A255">
        <v>22</v>
      </c>
      <c r="B255" s="17" t="s">
        <v>103</v>
      </c>
      <c r="C255">
        <v>1</v>
      </c>
      <c r="D255" s="17" t="s">
        <v>31</v>
      </c>
      <c r="E255" s="17" t="s">
        <v>32</v>
      </c>
      <c r="F255" s="17" t="s">
        <v>33</v>
      </c>
      <c r="G255">
        <v>2</v>
      </c>
      <c r="H255">
        <v>25000</v>
      </c>
      <c r="I255">
        <v>11000</v>
      </c>
      <c r="J255">
        <v>0</v>
      </c>
      <c r="K255" s="17">
        <f>(Fact_Ventas_Detalle[[#This Row],[Cantidad]]*Fact_Ventas_Detalle[[#This Row],[Precio Unitario]])-Fact_Ventas_Detalle[[#This Row],[Descuento Linea]]</f>
        <v>50000</v>
      </c>
    </row>
    <row r="256" spans="1:11" x14ac:dyDescent="0.25">
      <c r="A256">
        <v>22</v>
      </c>
      <c r="B256" s="17" t="s">
        <v>104</v>
      </c>
      <c r="C256">
        <v>1</v>
      </c>
      <c r="D256" s="17" t="s">
        <v>17</v>
      </c>
      <c r="E256" s="17" t="s">
        <v>18</v>
      </c>
      <c r="F256" s="17" t="s">
        <v>19</v>
      </c>
      <c r="G256">
        <v>2</v>
      </c>
      <c r="H256">
        <v>65000</v>
      </c>
      <c r="I256">
        <v>35000</v>
      </c>
      <c r="J256">
        <v>0</v>
      </c>
      <c r="K256" s="17">
        <f>(Fact_Ventas_Detalle[[#This Row],[Cantidad]]*Fact_Ventas_Detalle[[#This Row],[Precio Unitario]])-Fact_Ventas_Detalle[[#This Row],[Descuento Linea]]</f>
        <v>130000</v>
      </c>
    </row>
    <row r="257" spans="1:11" x14ac:dyDescent="0.25">
      <c r="A257">
        <v>22</v>
      </c>
      <c r="B257" s="17" t="s">
        <v>101</v>
      </c>
      <c r="C257">
        <v>2</v>
      </c>
      <c r="D257" s="17" t="s">
        <v>12</v>
      </c>
      <c r="E257" s="17" t="s">
        <v>13</v>
      </c>
      <c r="F257" s="17" t="s">
        <v>14</v>
      </c>
      <c r="G257">
        <v>2</v>
      </c>
      <c r="H257">
        <v>280000</v>
      </c>
      <c r="I257">
        <v>190000</v>
      </c>
      <c r="J257">
        <v>0</v>
      </c>
      <c r="K257" s="17">
        <f>(Fact_Ventas_Detalle[[#This Row],[Cantidad]]*Fact_Ventas_Detalle[[#This Row],[Precio Unitario]])-Fact_Ventas_Detalle[[#This Row],[Descuento Linea]]</f>
        <v>560000</v>
      </c>
    </row>
    <row r="258" spans="1:11" x14ac:dyDescent="0.25">
      <c r="A258">
        <v>22</v>
      </c>
      <c r="B258" s="17" t="s">
        <v>100</v>
      </c>
      <c r="C258">
        <v>2</v>
      </c>
      <c r="D258" s="17" t="s">
        <v>39</v>
      </c>
      <c r="E258" s="17" t="s">
        <v>40</v>
      </c>
      <c r="F258" s="17" t="s">
        <v>14</v>
      </c>
      <c r="G258">
        <v>1</v>
      </c>
      <c r="H258">
        <v>75000</v>
      </c>
      <c r="I258">
        <v>42000</v>
      </c>
      <c r="J258">
        <v>0</v>
      </c>
      <c r="K258" s="17">
        <f>(Fact_Ventas_Detalle[[#This Row],[Cantidad]]*Fact_Ventas_Detalle[[#This Row],[Precio Unitario]])-Fact_Ventas_Detalle[[#This Row],[Descuento Linea]]</f>
        <v>75000</v>
      </c>
    </row>
    <row r="259" spans="1:11" x14ac:dyDescent="0.25">
      <c r="A259">
        <v>22</v>
      </c>
      <c r="B259" s="17" t="s">
        <v>827</v>
      </c>
      <c r="C259">
        <v>3</v>
      </c>
      <c r="D259" s="17" t="s">
        <v>42</v>
      </c>
      <c r="E259" s="17" t="s">
        <v>43</v>
      </c>
      <c r="F259" s="17" t="s">
        <v>29</v>
      </c>
      <c r="G259">
        <v>1</v>
      </c>
      <c r="H259">
        <v>185000</v>
      </c>
      <c r="I259">
        <v>115000</v>
      </c>
      <c r="J259">
        <v>0</v>
      </c>
      <c r="K259" s="17">
        <f>(Fact_Ventas_Detalle[[#This Row],[Cantidad]]*Fact_Ventas_Detalle[[#This Row],[Precio Unitario]])-Fact_Ventas_Detalle[[#This Row],[Descuento Linea]]</f>
        <v>185000</v>
      </c>
    </row>
    <row r="260" spans="1:11" x14ac:dyDescent="0.25">
      <c r="A260">
        <v>22</v>
      </c>
      <c r="B260" s="17" t="s">
        <v>92</v>
      </c>
      <c r="C260">
        <v>4</v>
      </c>
      <c r="D260" s="17" t="s">
        <v>31</v>
      </c>
      <c r="E260" s="17" t="s">
        <v>32</v>
      </c>
      <c r="F260" s="17" t="s">
        <v>33</v>
      </c>
      <c r="G260">
        <v>3</v>
      </c>
      <c r="H260">
        <v>25000</v>
      </c>
      <c r="I260">
        <v>11000</v>
      </c>
      <c r="J260">
        <v>0</v>
      </c>
      <c r="K260" s="17">
        <f>(Fact_Ventas_Detalle[[#This Row],[Cantidad]]*Fact_Ventas_Detalle[[#This Row],[Precio Unitario]])-Fact_Ventas_Detalle[[#This Row],[Descuento Linea]]</f>
        <v>75000</v>
      </c>
    </row>
    <row r="261" spans="1:11" x14ac:dyDescent="0.25">
      <c r="A261">
        <v>22</v>
      </c>
      <c r="B261" s="17" t="s">
        <v>716</v>
      </c>
      <c r="C261">
        <v>2</v>
      </c>
      <c r="D261" s="17" t="s">
        <v>31</v>
      </c>
      <c r="E261" s="17" t="s">
        <v>32</v>
      </c>
      <c r="F261" s="17" t="s">
        <v>33</v>
      </c>
      <c r="G261">
        <v>3</v>
      </c>
      <c r="H261">
        <v>25000</v>
      </c>
      <c r="I261">
        <v>11000</v>
      </c>
      <c r="J261">
        <v>7500</v>
      </c>
      <c r="K261" s="17">
        <f>(Fact_Ventas_Detalle[[#This Row],[Cantidad]]*Fact_Ventas_Detalle[[#This Row],[Precio Unitario]])-Fact_Ventas_Detalle[[#This Row],[Descuento Linea]]</f>
        <v>67500</v>
      </c>
    </row>
    <row r="262" spans="1:11" x14ac:dyDescent="0.25">
      <c r="A262">
        <v>22</v>
      </c>
      <c r="B262" s="17" t="s">
        <v>105</v>
      </c>
      <c r="C262">
        <v>1</v>
      </c>
      <c r="D262" s="17" t="s">
        <v>37</v>
      </c>
      <c r="E262" s="17" t="s">
        <v>38</v>
      </c>
      <c r="F262" s="17" t="s">
        <v>33</v>
      </c>
      <c r="G262">
        <v>3</v>
      </c>
      <c r="H262">
        <v>45000</v>
      </c>
      <c r="I262">
        <v>22000</v>
      </c>
      <c r="J262">
        <v>6750</v>
      </c>
      <c r="K262" s="17">
        <f>(Fact_Ventas_Detalle[[#This Row],[Cantidad]]*Fact_Ventas_Detalle[[#This Row],[Precio Unitario]])-Fact_Ventas_Detalle[[#This Row],[Descuento Linea]]</f>
        <v>128250</v>
      </c>
    </row>
    <row r="263" spans="1:11" x14ac:dyDescent="0.25">
      <c r="A263">
        <v>22</v>
      </c>
      <c r="B263" s="17" t="s">
        <v>106</v>
      </c>
      <c r="C263">
        <v>1</v>
      </c>
      <c r="D263" s="17" t="s">
        <v>42</v>
      </c>
      <c r="E263" s="17" t="s">
        <v>43</v>
      </c>
      <c r="F263" s="17" t="s">
        <v>29</v>
      </c>
      <c r="G263">
        <v>3</v>
      </c>
      <c r="H263">
        <v>185000</v>
      </c>
      <c r="I263">
        <v>115000</v>
      </c>
      <c r="J263">
        <v>27750</v>
      </c>
      <c r="K263" s="17">
        <f>(Fact_Ventas_Detalle[[#This Row],[Cantidad]]*Fact_Ventas_Detalle[[#This Row],[Precio Unitario]])-Fact_Ventas_Detalle[[#This Row],[Descuento Linea]]</f>
        <v>527250</v>
      </c>
    </row>
    <row r="264" spans="1:11" x14ac:dyDescent="0.25">
      <c r="A264">
        <v>22</v>
      </c>
      <c r="B264" s="17" t="s">
        <v>539</v>
      </c>
      <c r="C264">
        <v>1</v>
      </c>
      <c r="D264" s="17" t="s">
        <v>17</v>
      </c>
      <c r="E264" s="17" t="s">
        <v>18</v>
      </c>
      <c r="F264" s="17" t="s">
        <v>19</v>
      </c>
      <c r="G264">
        <v>3</v>
      </c>
      <c r="H264">
        <v>65000</v>
      </c>
      <c r="I264">
        <v>35000</v>
      </c>
      <c r="J264">
        <v>9750</v>
      </c>
      <c r="K264" s="17">
        <f>(Fact_Ventas_Detalle[[#This Row],[Cantidad]]*Fact_Ventas_Detalle[[#This Row],[Precio Unitario]])-Fact_Ventas_Detalle[[#This Row],[Descuento Linea]]</f>
        <v>185250</v>
      </c>
    </row>
    <row r="265" spans="1:11" x14ac:dyDescent="0.25">
      <c r="A265">
        <v>22</v>
      </c>
      <c r="B265" s="17" t="s">
        <v>408</v>
      </c>
      <c r="C265">
        <v>1</v>
      </c>
      <c r="D265" s="17" t="s">
        <v>24</v>
      </c>
      <c r="E265" s="17" t="s">
        <v>25</v>
      </c>
      <c r="F265" s="17" t="s">
        <v>14</v>
      </c>
      <c r="G265">
        <v>1</v>
      </c>
      <c r="H265">
        <v>850000</v>
      </c>
      <c r="I265">
        <v>620000</v>
      </c>
      <c r="J265">
        <v>85000</v>
      </c>
      <c r="K265" s="17">
        <f>(Fact_Ventas_Detalle[[#This Row],[Cantidad]]*Fact_Ventas_Detalle[[#This Row],[Precio Unitario]])-Fact_Ventas_Detalle[[#This Row],[Descuento Linea]]</f>
        <v>765000</v>
      </c>
    </row>
    <row r="266" spans="1:11" x14ac:dyDescent="0.25">
      <c r="A266">
        <v>23</v>
      </c>
      <c r="B266" s="17" t="s">
        <v>107</v>
      </c>
      <c r="C266">
        <v>1</v>
      </c>
      <c r="D266" s="17" t="s">
        <v>37</v>
      </c>
      <c r="E266" s="17" t="s">
        <v>38</v>
      </c>
      <c r="F266" s="17" t="s">
        <v>33</v>
      </c>
      <c r="G266">
        <v>3</v>
      </c>
      <c r="H266">
        <v>45000</v>
      </c>
      <c r="I266">
        <v>22000</v>
      </c>
      <c r="J266">
        <v>0</v>
      </c>
      <c r="K266" s="17">
        <f>(Fact_Ventas_Detalle[[#This Row],[Cantidad]]*Fact_Ventas_Detalle[[#This Row],[Precio Unitario]])-Fact_Ventas_Detalle[[#This Row],[Descuento Linea]]</f>
        <v>135000</v>
      </c>
    </row>
    <row r="267" spans="1:11" x14ac:dyDescent="0.25">
      <c r="A267">
        <v>23</v>
      </c>
      <c r="B267" s="17" t="s">
        <v>422</v>
      </c>
      <c r="C267">
        <v>1</v>
      </c>
      <c r="D267" s="17" t="s">
        <v>42</v>
      </c>
      <c r="E267" s="17" t="s">
        <v>43</v>
      </c>
      <c r="F267" s="17" t="s">
        <v>29</v>
      </c>
      <c r="G267">
        <v>3</v>
      </c>
      <c r="H267">
        <v>185000</v>
      </c>
      <c r="I267">
        <v>115000</v>
      </c>
      <c r="J267">
        <v>0</v>
      </c>
      <c r="K267" s="17">
        <f>(Fact_Ventas_Detalle[[#This Row],[Cantidad]]*Fact_Ventas_Detalle[[#This Row],[Precio Unitario]])-Fact_Ventas_Detalle[[#This Row],[Descuento Linea]]</f>
        <v>555000</v>
      </c>
    </row>
    <row r="268" spans="1:11" x14ac:dyDescent="0.25">
      <c r="A268">
        <v>23</v>
      </c>
      <c r="B268" s="17" t="s">
        <v>615</v>
      </c>
      <c r="C268">
        <v>1</v>
      </c>
      <c r="D268" s="17" t="s">
        <v>27</v>
      </c>
      <c r="E268" s="17" t="s">
        <v>28</v>
      </c>
      <c r="F268" s="17" t="s">
        <v>29</v>
      </c>
      <c r="G268">
        <v>2</v>
      </c>
      <c r="H268">
        <v>240000</v>
      </c>
      <c r="I268">
        <v>150000</v>
      </c>
      <c r="J268">
        <v>0</v>
      </c>
      <c r="K268" s="17">
        <f>(Fact_Ventas_Detalle[[#This Row],[Cantidad]]*Fact_Ventas_Detalle[[#This Row],[Precio Unitario]])-Fact_Ventas_Detalle[[#This Row],[Descuento Linea]]</f>
        <v>480000</v>
      </c>
    </row>
    <row r="269" spans="1:11" x14ac:dyDescent="0.25">
      <c r="A269">
        <v>23</v>
      </c>
      <c r="B269" s="17" t="s">
        <v>104</v>
      </c>
      <c r="C269">
        <v>2</v>
      </c>
      <c r="D269" s="17" t="s">
        <v>31</v>
      </c>
      <c r="E269" s="17" t="s">
        <v>32</v>
      </c>
      <c r="F269" s="17" t="s">
        <v>33</v>
      </c>
      <c r="G269">
        <v>2</v>
      </c>
      <c r="H269">
        <v>25000</v>
      </c>
      <c r="I269">
        <v>11000</v>
      </c>
      <c r="J269">
        <v>0</v>
      </c>
      <c r="K269" s="17">
        <f>(Fact_Ventas_Detalle[[#This Row],[Cantidad]]*Fact_Ventas_Detalle[[#This Row],[Precio Unitario]])-Fact_Ventas_Detalle[[#This Row],[Descuento Linea]]</f>
        <v>50000</v>
      </c>
    </row>
    <row r="270" spans="1:11" x14ac:dyDescent="0.25">
      <c r="A270">
        <v>23</v>
      </c>
      <c r="B270" s="17" t="s">
        <v>827</v>
      </c>
      <c r="C270">
        <v>4</v>
      </c>
      <c r="D270" s="17" t="s">
        <v>39</v>
      </c>
      <c r="E270" s="17" t="s">
        <v>40</v>
      </c>
      <c r="F270" s="17" t="s">
        <v>14</v>
      </c>
      <c r="G270">
        <v>3</v>
      </c>
      <c r="H270">
        <v>75000</v>
      </c>
      <c r="I270">
        <v>42000</v>
      </c>
      <c r="J270">
        <v>0</v>
      </c>
      <c r="K270" s="17">
        <f>(Fact_Ventas_Detalle[[#This Row],[Cantidad]]*Fact_Ventas_Detalle[[#This Row],[Precio Unitario]])-Fact_Ventas_Detalle[[#This Row],[Descuento Linea]]</f>
        <v>225000</v>
      </c>
    </row>
    <row r="271" spans="1:11" x14ac:dyDescent="0.25">
      <c r="A271">
        <v>23</v>
      </c>
      <c r="B271" s="17" t="s">
        <v>101</v>
      </c>
      <c r="C271">
        <v>3</v>
      </c>
      <c r="D271" s="17" t="s">
        <v>42</v>
      </c>
      <c r="E271" s="17" t="s">
        <v>43</v>
      </c>
      <c r="F271" s="17" t="s">
        <v>29</v>
      </c>
      <c r="G271">
        <v>2</v>
      </c>
      <c r="H271">
        <v>185000</v>
      </c>
      <c r="I271">
        <v>115000</v>
      </c>
      <c r="J271">
        <v>37000</v>
      </c>
      <c r="K271" s="17">
        <f>(Fact_Ventas_Detalle[[#This Row],[Cantidad]]*Fact_Ventas_Detalle[[#This Row],[Precio Unitario]])-Fact_Ventas_Detalle[[#This Row],[Descuento Linea]]</f>
        <v>333000</v>
      </c>
    </row>
    <row r="272" spans="1:11" x14ac:dyDescent="0.25">
      <c r="A272">
        <v>23</v>
      </c>
      <c r="B272" s="17" t="s">
        <v>716</v>
      </c>
      <c r="C272">
        <v>3</v>
      </c>
      <c r="D272" s="17" t="s">
        <v>31</v>
      </c>
      <c r="E272" s="17" t="s">
        <v>32</v>
      </c>
      <c r="F272" s="17" t="s">
        <v>33</v>
      </c>
      <c r="G272">
        <v>3</v>
      </c>
      <c r="H272">
        <v>25000</v>
      </c>
      <c r="I272">
        <v>11000</v>
      </c>
      <c r="J272">
        <v>3750</v>
      </c>
      <c r="K272" s="17">
        <f>(Fact_Ventas_Detalle[[#This Row],[Cantidad]]*Fact_Ventas_Detalle[[#This Row],[Precio Unitario]])-Fact_Ventas_Detalle[[#This Row],[Descuento Linea]]</f>
        <v>71250</v>
      </c>
    </row>
    <row r="273" spans="1:11" x14ac:dyDescent="0.25">
      <c r="A273">
        <v>23</v>
      </c>
      <c r="B273" s="17" t="s">
        <v>102</v>
      </c>
      <c r="C273">
        <v>2</v>
      </c>
      <c r="D273" s="17" t="s">
        <v>37</v>
      </c>
      <c r="E273" s="17" t="s">
        <v>38</v>
      </c>
      <c r="F273" s="17" t="s">
        <v>33</v>
      </c>
      <c r="G273">
        <v>3</v>
      </c>
      <c r="H273">
        <v>45000</v>
      </c>
      <c r="I273">
        <v>22000</v>
      </c>
      <c r="J273">
        <v>13500</v>
      </c>
      <c r="K273" s="17">
        <f>(Fact_Ventas_Detalle[[#This Row],[Cantidad]]*Fact_Ventas_Detalle[[#This Row],[Precio Unitario]])-Fact_Ventas_Detalle[[#This Row],[Descuento Linea]]</f>
        <v>121500</v>
      </c>
    </row>
    <row r="274" spans="1:11" x14ac:dyDescent="0.25">
      <c r="A274">
        <v>23</v>
      </c>
      <c r="B274" s="17" t="s">
        <v>103</v>
      </c>
      <c r="C274">
        <v>2</v>
      </c>
      <c r="D274" s="17" t="s">
        <v>31</v>
      </c>
      <c r="E274" s="17" t="s">
        <v>32</v>
      </c>
      <c r="F274" s="17" t="s">
        <v>33</v>
      </c>
      <c r="G274">
        <v>1</v>
      </c>
      <c r="H274">
        <v>25000</v>
      </c>
      <c r="I274">
        <v>11000</v>
      </c>
      <c r="J274">
        <v>2500</v>
      </c>
      <c r="K274" s="17">
        <f>(Fact_Ventas_Detalle[[#This Row],[Cantidad]]*Fact_Ventas_Detalle[[#This Row],[Precio Unitario]])-Fact_Ventas_Detalle[[#This Row],[Descuento Linea]]</f>
        <v>22500</v>
      </c>
    </row>
    <row r="275" spans="1:11" x14ac:dyDescent="0.25">
      <c r="A275">
        <v>23</v>
      </c>
      <c r="B275" s="17" t="s">
        <v>105</v>
      </c>
      <c r="C275">
        <v>2</v>
      </c>
      <c r="D275" s="17" t="s">
        <v>17</v>
      </c>
      <c r="E275" s="17" t="s">
        <v>18</v>
      </c>
      <c r="F275" s="17" t="s">
        <v>19</v>
      </c>
      <c r="G275">
        <v>1</v>
      </c>
      <c r="H275">
        <v>65000</v>
      </c>
      <c r="I275">
        <v>35000</v>
      </c>
      <c r="J275">
        <v>3250</v>
      </c>
      <c r="K275" s="17">
        <f>(Fact_Ventas_Detalle[[#This Row],[Cantidad]]*Fact_Ventas_Detalle[[#This Row],[Precio Unitario]])-Fact_Ventas_Detalle[[#This Row],[Descuento Linea]]</f>
        <v>61750</v>
      </c>
    </row>
    <row r="276" spans="1:11" x14ac:dyDescent="0.25">
      <c r="A276">
        <v>23</v>
      </c>
      <c r="B276" s="17" t="s">
        <v>106</v>
      </c>
      <c r="C276">
        <v>2</v>
      </c>
      <c r="D276" s="17" t="s">
        <v>12</v>
      </c>
      <c r="E276" s="17" t="s">
        <v>13</v>
      </c>
      <c r="F276" s="17" t="s">
        <v>14</v>
      </c>
      <c r="G276">
        <v>3</v>
      </c>
      <c r="H276">
        <v>280000</v>
      </c>
      <c r="I276">
        <v>190000</v>
      </c>
      <c r="J276">
        <v>84000</v>
      </c>
      <c r="K276" s="17">
        <f>(Fact_Ventas_Detalle[[#This Row],[Cantidad]]*Fact_Ventas_Detalle[[#This Row],[Precio Unitario]])-Fact_Ventas_Detalle[[#This Row],[Descuento Linea]]</f>
        <v>756000</v>
      </c>
    </row>
    <row r="277" spans="1:11" x14ac:dyDescent="0.25">
      <c r="A277">
        <v>23</v>
      </c>
      <c r="B277" s="17" t="s">
        <v>108</v>
      </c>
      <c r="C277">
        <v>1</v>
      </c>
      <c r="D277" s="17" t="s">
        <v>12</v>
      </c>
      <c r="E277" s="17" t="s">
        <v>13</v>
      </c>
      <c r="F277" s="17" t="s">
        <v>14</v>
      </c>
      <c r="G277">
        <v>1</v>
      </c>
      <c r="H277">
        <v>280000</v>
      </c>
      <c r="I277">
        <v>190000</v>
      </c>
      <c r="J277">
        <v>28000</v>
      </c>
      <c r="K277" s="17">
        <f>(Fact_Ventas_Detalle[[#This Row],[Cantidad]]*Fact_Ventas_Detalle[[#This Row],[Precio Unitario]])-Fact_Ventas_Detalle[[#This Row],[Descuento Linea]]</f>
        <v>252000</v>
      </c>
    </row>
    <row r="278" spans="1:11" x14ac:dyDescent="0.25">
      <c r="A278">
        <v>24</v>
      </c>
      <c r="B278" s="17" t="s">
        <v>109</v>
      </c>
      <c r="C278">
        <v>1</v>
      </c>
      <c r="D278" s="17" t="s">
        <v>27</v>
      </c>
      <c r="E278" s="17" t="s">
        <v>28</v>
      </c>
      <c r="F278" s="17" t="s">
        <v>29</v>
      </c>
      <c r="G278">
        <v>2</v>
      </c>
      <c r="H278">
        <v>240000</v>
      </c>
      <c r="I278">
        <v>150000</v>
      </c>
      <c r="J278">
        <v>0</v>
      </c>
      <c r="K278" s="17">
        <f>(Fact_Ventas_Detalle[[#This Row],[Cantidad]]*Fact_Ventas_Detalle[[#This Row],[Precio Unitario]])-Fact_Ventas_Detalle[[#This Row],[Descuento Linea]]</f>
        <v>480000</v>
      </c>
    </row>
    <row r="279" spans="1:11" x14ac:dyDescent="0.25">
      <c r="A279">
        <v>24</v>
      </c>
      <c r="B279" s="17" t="s">
        <v>110</v>
      </c>
      <c r="C279">
        <v>1</v>
      </c>
      <c r="D279" s="17" t="s">
        <v>27</v>
      </c>
      <c r="E279" s="17" t="s">
        <v>28</v>
      </c>
      <c r="F279" s="17" t="s">
        <v>29</v>
      </c>
      <c r="G279">
        <v>2</v>
      </c>
      <c r="H279">
        <v>240000</v>
      </c>
      <c r="I279">
        <v>150000</v>
      </c>
      <c r="J279">
        <v>0</v>
      </c>
      <c r="K279" s="17">
        <f>(Fact_Ventas_Detalle[[#This Row],[Cantidad]]*Fact_Ventas_Detalle[[#This Row],[Precio Unitario]])-Fact_Ventas_Detalle[[#This Row],[Descuento Linea]]</f>
        <v>480000</v>
      </c>
    </row>
    <row r="280" spans="1:11" x14ac:dyDescent="0.25">
      <c r="A280">
        <v>24</v>
      </c>
      <c r="B280" s="17" t="s">
        <v>692</v>
      </c>
      <c r="C280">
        <v>1</v>
      </c>
      <c r="D280" s="17" t="s">
        <v>39</v>
      </c>
      <c r="E280" s="17" t="s">
        <v>40</v>
      </c>
      <c r="F280" s="17" t="s">
        <v>14</v>
      </c>
      <c r="G280">
        <v>2</v>
      </c>
      <c r="H280">
        <v>75000</v>
      </c>
      <c r="I280">
        <v>42000</v>
      </c>
      <c r="J280">
        <v>0</v>
      </c>
      <c r="K280" s="17">
        <f>(Fact_Ventas_Detalle[[#This Row],[Cantidad]]*Fact_Ventas_Detalle[[#This Row],[Precio Unitario]])-Fact_Ventas_Detalle[[#This Row],[Descuento Linea]]</f>
        <v>150000</v>
      </c>
    </row>
    <row r="281" spans="1:11" x14ac:dyDescent="0.25">
      <c r="A281">
        <v>24</v>
      </c>
      <c r="B281" s="17" t="s">
        <v>730</v>
      </c>
      <c r="C281">
        <v>1</v>
      </c>
      <c r="D281" s="17" t="s">
        <v>31</v>
      </c>
      <c r="E281" s="17" t="s">
        <v>32</v>
      </c>
      <c r="F281" s="17" t="s">
        <v>33</v>
      </c>
      <c r="G281">
        <v>1</v>
      </c>
      <c r="H281">
        <v>25000</v>
      </c>
      <c r="I281">
        <v>11000</v>
      </c>
      <c r="J281">
        <v>0</v>
      </c>
      <c r="K281" s="17">
        <f>(Fact_Ventas_Detalle[[#This Row],[Cantidad]]*Fact_Ventas_Detalle[[#This Row],[Precio Unitario]])-Fact_Ventas_Detalle[[#This Row],[Descuento Linea]]</f>
        <v>25000</v>
      </c>
    </row>
    <row r="282" spans="1:11" x14ac:dyDescent="0.25">
      <c r="A282">
        <v>24</v>
      </c>
      <c r="B282" s="17" t="s">
        <v>106</v>
      </c>
      <c r="C282">
        <v>3</v>
      </c>
      <c r="D282" s="17" t="s">
        <v>12</v>
      </c>
      <c r="E282" s="17" t="s">
        <v>13</v>
      </c>
      <c r="F282" s="17" t="s">
        <v>14</v>
      </c>
      <c r="G282">
        <v>2</v>
      </c>
      <c r="H282">
        <v>280000</v>
      </c>
      <c r="I282">
        <v>190000</v>
      </c>
      <c r="J282">
        <v>0</v>
      </c>
      <c r="K282" s="17">
        <f>(Fact_Ventas_Detalle[[#This Row],[Cantidad]]*Fact_Ventas_Detalle[[#This Row],[Precio Unitario]])-Fact_Ventas_Detalle[[#This Row],[Descuento Linea]]</f>
        <v>560000</v>
      </c>
    </row>
    <row r="283" spans="1:11" x14ac:dyDescent="0.25">
      <c r="A283">
        <v>24</v>
      </c>
      <c r="B283" s="17" t="s">
        <v>101</v>
      </c>
      <c r="C283">
        <v>4</v>
      </c>
      <c r="D283" s="17" t="s">
        <v>39</v>
      </c>
      <c r="E283" s="17" t="s">
        <v>40</v>
      </c>
      <c r="F283" s="17" t="s">
        <v>14</v>
      </c>
      <c r="G283">
        <v>3</v>
      </c>
      <c r="H283">
        <v>75000</v>
      </c>
      <c r="I283">
        <v>42000</v>
      </c>
      <c r="J283">
        <v>11250</v>
      </c>
      <c r="K283" s="17">
        <f>(Fact_Ventas_Detalle[[#This Row],[Cantidad]]*Fact_Ventas_Detalle[[#This Row],[Precio Unitario]])-Fact_Ventas_Detalle[[#This Row],[Descuento Linea]]</f>
        <v>213750</v>
      </c>
    </row>
    <row r="284" spans="1:11" x14ac:dyDescent="0.25">
      <c r="A284">
        <v>24</v>
      </c>
      <c r="B284" s="17" t="s">
        <v>716</v>
      </c>
      <c r="C284">
        <v>4</v>
      </c>
      <c r="D284" s="17" t="s">
        <v>12</v>
      </c>
      <c r="E284" s="17" t="s">
        <v>13</v>
      </c>
      <c r="F284" s="17" t="s">
        <v>14</v>
      </c>
      <c r="G284">
        <v>3</v>
      </c>
      <c r="H284">
        <v>280000</v>
      </c>
      <c r="I284">
        <v>190000</v>
      </c>
      <c r="J284">
        <v>42000</v>
      </c>
      <c r="K284" s="17">
        <f>(Fact_Ventas_Detalle[[#This Row],[Cantidad]]*Fact_Ventas_Detalle[[#This Row],[Precio Unitario]])-Fact_Ventas_Detalle[[#This Row],[Descuento Linea]]</f>
        <v>798000</v>
      </c>
    </row>
    <row r="285" spans="1:11" x14ac:dyDescent="0.25">
      <c r="A285">
        <v>24</v>
      </c>
      <c r="B285" s="17" t="s">
        <v>102</v>
      </c>
      <c r="C285">
        <v>3</v>
      </c>
      <c r="D285" s="17" t="s">
        <v>37</v>
      </c>
      <c r="E285" s="17" t="s">
        <v>38</v>
      </c>
      <c r="F285" s="17" t="s">
        <v>33</v>
      </c>
      <c r="G285">
        <v>2</v>
      </c>
      <c r="H285">
        <v>45000</v>
      </c>
      <c r="I285">
        <v>22000</v>
      </c>
      <c r="J285">
        <v>9000</v>
      </c>
      <c r="K285" s="17">
        <f>(Fact_Ventas_Detalle[[#This Row],[Cantidad]]*Fact_Ventas_Detalle[[#This Row],[Precio Unitario]])-Fact_Ventas_Detalle[[#This Row],[Descuento Linea]]</f>
        <v>81000</v>
      </c>
    </row>
    <row r="286" spans="1:11" x14ac:dyDescent="0.25">
      <c r="A286">
        <v>24</v>
      </c>
      <c r="B286" s="17" t="s">
        <v>615</v>
      </c>
      <c r="C286">
        <v>2</v>
      </c>
      <c r="D286" s="17" t="s">
        <v>37</v>
      </c>
      <c r="E286" s="17" t="s">
        <v>38</v>
      </c>
      <c r="F286" s="17" t="s">
        <v>33</v>
      </c>
      <c r="G286">
        <v>3</v>
      </c>
      <c r="H286">
        <v>45000</v>
      </c>
      <c r="I286">
        <v>22000</v>
      </c>
      <c r="J286">
        <v>13500</v>
      </c>
      <c r="K286" s="17">
        <f>(Fact_Ventas_Detalle[[#This Row],[Cantidad]]*Fact_Ventas_Detalle[[#This Row],[Precio Unitario]])-Fact_Ventas_Detalle[[#This Row],[Descuento Linea]]</f>
        <v>121500</v>
      </c>
    </row>
    <row r="287" spans="1:11" x14ac:dyDescent="0.25">
      <c r="A287">
        <v>24</v>
      </c>
      <c r="B287" s="17" t="s">
        <v>111</v>
      </c>
      <c r="C287">
        <v>1</v>
      </c>
      <c r="D287" s="17" t="s">
        <v>24</v>
      </c>
      <c r="E287" s="17" t="s">
        <v>25</v>
      </c>
      <c r="F287" s="17" t="s">
        <v>14</v>
      </c>
      <c r="G287">
        <v>3</v>
      </c>
      <c r="H287">
        <v>850000</v>
      </c>
      <c r="I287">
        <v>620000</v>
      </c>
      <c r="J287">
        <v>255000</v>
      </c>
      <c r="K287" s="17">
        <f>(Fact_Ventas_Detalle[[#This Row],[Cantidad]]*Fact_Ventas_Detalle[[#This Row],[Precio Unitario]])-Fact_Ventas_Detalle[[#This Row],[Descuento Linea]]</f>
        <v>2295000</v>
      </c>
    </row>
    <row r="288" spans="1:11" x14ac:dyDescent="0.25">
      <c r="A288">
        <v>24</v>
      </c>
      <c r="B288" s="17" t="s">
        <v>112</v>
      </c>
      <c r="C288">
        <v>1</v>
      </c>
      <c r="D288" s="17" t="s">
        <v>31</v>
      </c>
      <c r="E288" s="17" t="s">
        <v>32</v>
      </c>
      <c r="F288" s="17" t="s">
        <v>33</v>
      </c>
      <c r="G288">
        <v>3</v>
      </c>
      <c r="H288">
        <v>25000</v>
      </c>
      <c r="I288">
        <v>11000</v>
      </c>
      <c r="J288">
        <v>7500</v>
      </c>
      <c r="K288" s="17">
        <f>(Fact_Ventas_Detalle[[#This Row],[Cantidad]]*Fact_Ventas_Detalle[[#This Row],[Precio Unitario]])-Fact_Ventas_Detalle[[#This Row],[Descuento Linea]]</f>
        <v>67500</v>
      </c>
    </row>
    <row r="289" spans="1:11" x14ac:dyDescent="0.25">
      <c r="A289">
        <v>24</v>
      </c>
      <c r="B289" s="17" t="s">
        <v>113</v>
      </c>
      <c r="C289">
        <v>1</v>
      </c>
      <c r="D289" s="17" t="s">
        <v>42</v>
      </c>
      <c r="E289" s="17" t="s">
        <v>43</v>
      </c>
      <c r="F289" s="17" t="s">
        <v>29</v>
      </c>
      <c r="G289">
        <v>1</v>
      </c>
      <c r="H289">
        <v>185000</v>
      </c>
      <c r="I289">
        <v>115000</v>
      </c>
      <c r="J289">
        <v>9250</v>
      </c>
      <c r="K289" s="17">
        <f>(Fact_Ventas_Detalle[[#This Row],[Cantidad]]*Fact_Ventas_Detalle[[#This Row],[Precio Unitario]])-Fact_Ventas_Detalle[[#This Row],[Descuento Linea]]</f>
        <v>175750</v>
      </c>
    </row>
    <row r="290" spans="1:11" x14ac:dyDescent="0.25">
      <c r="A290">
        <v>25</v>
      </c>
      <c r="B290" s="17" t="s">
        <v>114</v>
      </c>
      <c r="C290">
        <v>1</v>
      </c>
      <c r="D290" s="17" t="s">
        <v>31</v>
      </c>
      <c r="E290" s="17" t="s">
        <v>32</v>
      </c>
      <c r="F290" s="17" t="s">
        <v>33</v>
      </c>
      <c r="G290">
        <v>2</v>
      </c>
      <c r="H290">
        <v>25000</v>
      </c>
      <c r="I290">
        <v>11000</v>
      </c>
      <c r="J290">
        <v>0</v>
      </c>
      <c r="K290" s="17">
        <f>(Fact_Ventas_Detalle[[#This Row],[Cantidad]]*Fact_Ventas_Detalle[[#This Row],[Precio Unitario]])-Fact_Ventas_Detalle[[#This Row],[Descuento Linea]]</f>
        <v>50000</v>
      </c>
    </row>
    <row r="291" spans="1:11" x14ac:dyDescent="0.25">
      <c r="A291">
        <v>25</v>
      </c>
      <c r="B291" s="17" t="s">
        <v>102</v>
      </c>
      <c r="C291">
        <v>4</v>
      </c>
      <c r="D291" s="17" t="s">
        <v>31</v>
      </c>
      <c r="E291" s="17" t="s">
        <v>32</v>
      </c>
      <c r="F291" s="17" t="s">
        <v>33</v>
      </c>
      <c r="G291">
        <v>3</v>
      </c>
      <c r="H291">
        <v>25000</v>
      </c>
      <c r="I291">
        <v>11000</v>
      </c>
      <c r="J291">
        <v>0</v>
      </c>
      <c r="K291" s="17">
        <f>(Fact_Ventas_Detalle[[#This Row],[Cantidad]]*Fact_Ventas_Detalle[[#This Row],[Precio Unitario]])-Fact_Ventas_Detalle[[#This Row],[Descuento Linea]]</f>
        <v>75000</v>
      </c>
    </row>
    <row r="292" spans="1:11" x14ac:dyDescent="0.25">
      <c r="A292">
        <v>25</v>
      </c>
      <c r="B292" s="17" t="s">
        <v>106</v>
      </c>
      <c r="C292">
        <v>4</v>
      </c>
      <c r="D292" s="17" t="s">
        <v>17</v>
      </c>
      <c r="E292" s="17" t="s">
        <v>18</v>
      </c>
      <c r="F292" s="17" t="s">
        <v>19</v>
      </c>
      <c r="G292">
        <v>2</v>
      </c>
      <c r="H292">
        <v>65000</v>
      </c>
      <c r="I292">
        <v>35000</v>
      </c>
      <c r="J292">
        <v>0</v>
      </c>
      <c r="K292" s="17">
        <f>(Fact_Ventas_Detalle[[#This Row],[Cantidad]]*Fact_Ventas_Detalle[[#This Row],[Precio Unitario]])-Fact_Ventas_Detalle[[#This Row],[Descuento Linea]]</f>
        <v>130000</v>
      </c>
    </row>
    <row r="293" spans="1:11" x14ac:dyDescent="0.25">
      <c r="A293">
        <v>25</v>
      </c>
      <c r="B293" s="17" t="s">
        <v>111</v>
      </c>
      <c r="C293">
        <v>2</v>
      </c>
      <c r="D293" s="17" t="s">
        <v>39</v>
      </c>
      <c r="E293" s="17" t="s">
        <v>40</v>
      </c>
      <c r="F293" s="17" t="s">
        <v>14</v>
      </c>
      <c r="G293">
        <v>1</v>
      </c>
      <c r="H293">
        <v>75000</v>
      </c>
      <c r="I293">
        <v>42000</v>
      </c>
      <c r="J293">
        <v>3750</v>
      </c>
      <c r="K293" s="17">
        <f>(Fact_Ventas_Detalle[[#This Row],[Cantidad]]*Fact_Ventas_Detalle[[#This Row],[Precio Unitario]])-Fact_Ventas_Detalle[[#This Row],[Descuento Linea]]</f>
        <v>71250</v>
      </c>
    </row>
    <row r="294" spans="1:11" x14ac:dyDescent="0.25">
      <c r="A294">
        <v>25</v>
      </c>
      <c r="B294" s="17" t="s">
        <v>112</v>
      </c>
      <c r="C294">
        <v>2</v>
      </c>
      <c r="D294" s="17" t="s">
        <v>42</v>
      </c>
      <c r="E294" s="17" t="s">
        <v>43</v>
      </c>
      <c r="F294" s="17" t="s">
        <v>29</v>
      </c>
      <c r="G294">
        <v>1</v>
      </c>
      <c r="H294">
        <v>185000</v>
      </c>
      <c r="I294">
        <v>115000</v>
      </c>
      <c r="J294">
        <v>18500</v>
      </c>
      <c r="K294" s="17">
        <f>(Fact_Ventas_Detalle[[#This Row],[Cantidad]]*Fact_Ventas_Detalle[[#This Row],[Precio Unitario]])-Fact_Ventas_Detalle[[#This Row],[Descuento Linea]]</f>
        <v>166500</v>
      </c>
    </row>
    <row r="295" spans="1:11" x14ac:dyDescent="0.25">
      <c r="A295">
        <v>25</v>
      </c>
      <c r="B295" s="17" t="s">
        <v>113</v>
      </c>
      <c r="C295">
        <v>2</v>
      </c>
      <c r="D295" s="17" t="s">
        <v>39</v>
      </c>
      <c r="E295" s="17" t="s">
        <v>40</v>
      </c>
      <c r="F295" s="17" t="s">
        <v>14</v>
      </c>
      <c r="G295">
        <v>1</v>
      </c>
      <c r="H295">
        <v>75000</v>
      </c>
      <c r="I295">
        <v>42000</v>
      </c>
      <c r="J295">
        <v>7500</v>
      </c>
      <c r="K295" s="17">
        <f>(Fact_Ventas_Detalle[[#This Row],[Cantidad]]*Fact_Ventas_Detalle[[#This Row],[Precio Unitario]])-Fact_Ventas_Detalle[[#This Row],[Descuento Linea]]</f>
        <v>67500</v>
      </c>
    </row>
    <row r="296" spans="1:11" x14ac:dyDescent="0.25">
      <c r="A296">
        <v>25</v>
      </c>
      <c r="B296" s="17" t="s">
        <v>110</v>
      </c>
      <c r="C296">
        <v>2</v>
      </c>
      <c r="D296" s="17" t="s">
        <v>17</v>
      </c>
      <c r="E296" s="17" t="s">
        <v>18</v>
      </c>
      <c r="F296" s="17" t="s">
        <v>19</v>
      </c>
      <c r="G296">
        <v>1</v>
      </c>
      <c r="H296">
        <v>65000</v>
      </c>
      <c r="I296">
        <v>35000</v>
      </c>
      <c r="J296">
        <v>6500</v>
      </c>
      <c r="K296" s="17">
        <f>(Fact_Ventas_Detalle[[#This Row],[Cantidad]]*Fact_Ventas_Detalle[[#This Row],[Precio Unitario]])-Fact_Ventas_Detalle[[#This Row],[Descuento Linea]]</f>
        <v>58500</v>
      </c>
    </row>
    <row r="297" spans="1:11" x14ac:dyDescent="0.25">
      <c r="A297">
        <v>25</v>
      </c>
      <c r="B297" s="17" t="s">
        <v>692</v>
      </c>
      <c r="C297">
        <v>2</v>
      </c>
      <c r="D297" s="17" t="s">
        <v>37</v>
      </c>
      <c r="E297" s="17" t="s">
        <v>38</v>
      </c>
      <c r="F297" s="17" t="s">
        <v>33</v>
      </c>
      <c r="G297">
        <v>2</v>
      </c>
      <c r="H297">
        <v>45000</v>
      </c>
      <c r="I297">
        <v>22000</v>
      </c>
      <c r="J297">
        <v>9000</v>
      </c>
      <c r="K297" s="17">
        <f>(Fact_Ventas_Detalle[[#This Row],[Cantidad]]*Fact_Ventas_Detalle[[#This Row],[Precio Unitario]])-Fact_Ventas_Detalle[[#This Row],[Descuento Linea]]</f>
        <v>81000</v>
      </c>
    </row>
    <row r="298" spans="1:11" x14ac:dyDescent="0.25">
      <c r="A298">
        <v>25</v>
      </c>
      <c r="B298" s="17" t="s">
        <v>730</v>
      </c>
      <c r="C298">
        <v>2</v>
      </c>
      <c r="D298" s="17" t="s">
        <v>12</v>
      </c>
      <c r="E298" s="17" t="s">
        <v>13</v>
      </c>
      <c r="F298" s="17" t="s">
        <v>14</v>
      </c>
      <c r="G298">
        <v>3</v>
      </c>
      <c r="H298">
        <v>280000</v>
      </c>
      <c r="I298">
        <v>190000</v>
      </c>
      <c r="J298">
        <v>42000</v>
      </c>
      <c r="K298" s="17">
        <f>(Fact_Ventas_Detalle[[#This Row],[Cantidad]]*Fact_Ventas_Detalle[[#This Row],[Precio Unitario]])-Fact_Ventas_Detalle[[#This Row],[Descuento Linea]]</f>
        <v>798000</v>
      </c>
    </row>
    <row r="299" spans="1:11" x14ac:dyDescent="0.25">
      <c r="A299">
        <v>25</v>
      </c>
      <c r="B299" s="17" t="s">
        <v>115</v>
      </c>
      <c r="C299">
        <v>1</v>
      </c>
      <c r="D299" s="17" t="s">
        <v>12</v>
      </c>
      <c r="E299" s="17" t="s">
        <v>13</v>
      </c>
      <c r="F299" s="17" t="s">
        <v>14</v>
      </c>
      <c r="G299">
        <v>3</v>
      </c>
      <c r="H299">
        <v>280000</v>
      </c>
      <c r="I299">
        <v>190000</v>
      </c>
      <c r="J299">
        <v>42000</v>
      </c>
      <c r="K299" s="17">
        <f>(Fact_Ventas_Detalle[[#This Row],[Cantidad]]*Fact_Ventas_Detalle[[#This Row],[Precio Unitario]])-Fact_Ventas_Detalle[[#This Row],[Descuento Linea]]</f>
        <v>798000</v>
      </c>
    </row>
    <row r="300" spans="1:11" x14ac:dyDescent="0.25">
      <c r="A300">
        <v>25</v>
      </c>
      <c r="B300" s="17" t="s">
        <v>718</v>
      </c>
      <c r="C300">
        <v>1</v>
      </c>
      <c r="D300" s="17" t="s">
        <v>37</v>
      </c>
      <c r="E300" s="17" t="s">
        <v>38</v>
      </c>
      <c r="F300" s="17" t="s">
        <v>33</v>
      </c>
      <c r="G300">
        <v>3</v>
      </c>
      <c r="H300">
        <v>45000</v>
      </c>
      <c r="I300">
        <v>22000</v>
      </c>
      <c r="J300">
        <v>6750</v>
      </c>
      <c r="K300" s="17">
        <f>(Fact_Ventas_Detalle[[#This Row],[Cantidad]]*Fact_Ventas_Detalle[[#This Row],[Precio Unitario]])-Fact_Ventas_Detalle[[#This Row],[Descuento Linea]]</f>
        <v>128250</v>
      </c>
    </row>
    <row r="301" spans="1:11" x14ac:dyDescent="0.25">
      <c r="A301">
        <v>25</v>
      </c>
      <c r="B301" s="17" t="s">
        <v>684</v>
      </c>
      <c r="C301">
        <v>1</v>
      </c>
      <c r="D301" s="17" t="s">
        <v>27</v>
      </c>
      <c r="E301" s="17" t="s">
        <v>28</v>
      </c>
      <c r="F301" s="17" t="s">
        <v>29</v>
      </c>
      <c r="G301">
        <v>1</v>
      </c>
      <c r="H301">
        <v>240000</v>
      </c>
      <c r="I301">
        <v>150000</v>
      </c>
      <c r="J301">
        <v>24000</v>
      </c>
      <c r="K301" s="17">
        <f>(Fact_Ventas_Detalle[[#This Row],[Cantidad]]*Fact_Ventas_Detalle[[#This Row],[Precio Unitario]])-Fact_Ventas_Detalle[[#This Row],[Descuento Linea]]</f>
        <v>216000</v>
      </c>
    </row>
    <row r="302" spans="1:11" x14ac:dyDescent="0.25">
      <c r="A302">
        <v>26</v>
      </c>
      <c r="B302" s="17" t="s">
        <v>116</v>
      </c>
      <c r="C302">
        <v>1</v>
      </c>
      <c r="D302" s="17" t="s">
        <v>12</v>
      </c>
      <c r="E302" s="17" t="s">
        <v>13</v>
      </c>
      <c r="F302" s="17" t="s">
        <v>14</v>
      </c>
      <c r="G302">
        <v>3</v>
      </c>
      <c r="H302">
        <v>280000</v>
      </c>
      <c r="I302">
        <v>190000</v>
      </c>
      <c r="J302">
        <v>0</v>
      </c>
      <c r="K302" s="17">
        <f>(Fact_Ventas_Detalle[[#This Row],[Cantidad]]*Fact_Ventas_Detalle[[#This Row],[Precio Unitario]])-Fact_Ventas_Detalle[[#This Row],[Descuento Linea]]</f>
        <v>840000</v>
      </c>
    </row>
    <row r="303" spans="1:11" x14ac:dyDescent="0.25">
      <c r="A303">
        <v>26</v>
      </c>
      <c r="B303" s="17" t="s">
        <v>117</v>
      </c>
      <c r="C303">
        <v>1</v>
      </c>
      <c r="D303" s="17" t="s">
        <v>42</v>
      </c>
      <c r="E303" s="17" t="s">
        <v>43</v>
      </c>
      <c r="F303" s="17" t="s">
        <v>29</v>
      </c>
      <c r="G303">
        <v>2</v>
      </c>
      <c r="H303">
        <v>185000</v>
      </c>
      <c r="I303">
        <v>115000</v>
      </c>
      <c r="J303">
        <v>0</v>
      </c>
      <c r="K303" s="17">
        <f>(Fact_Ventas_Detalle[[#This Row],[Cantidad]]*Fact_Ventas_Detalle[[#This Row],[Precio Unitario]])-Fact_Ventas_Detalle[[#This Row],[Descuento Linea]]</f>
        <v>370000</v>
      </c>
    </row>
    <row r="304" spans="1:11" x14ac:dyDescent="0.25">
      <c r="A304">
        <v>26</v>
      </c>
      <c r="B304" s="17" t="s">
        <v>444</v>
      </c>
      <c r="C304">
        <v>1</v>
      </c>
      <c r="D304" s="17" t="s">
        <v>17</v>
      </c>
      <c r="E304" s="17" t="s">
        <v>18</v>
      </c>
      <c r="F304" s="17" t="s">
        <v>19</v>
      </c>
      <c r="G304">
        <v>2</v>
      </c>
      <c r="H304">
        <v>65000</v>
      </c>
      <c r="I304">
        <v>35000</v>
      </c>
      <c r="J304">
        <v>0</v>
      </c>
      <c r="K304" s="17">
        <f>(Fact_Ventas_Detalle[[#This Row],[Cantidad]]*Fact_Ventas_Detalle[[#This Row],[Precio Unitario]])-Fact_Ventas_Detalle[[#This Row],[Descuento Linea]]</f>
        <v>130000</v>
      </c>
    </row>
    <row r="305" spans="1:11" x14ac:dyDescent="0.25">
      <c r="A305">
        <v>26</v>
      </c>
      <c r="B305" s="17" t="s">
        <v>115</v>
      </c>
      <c r="C305">
        <v>2</v>
      </c>
      <c r="D305" s="17" t="s">
        <v>24</v>
      </c>
      <c r="E305" s="17" t="s">
        <v>25</v>
      </c>
      <c r="F305" s="17" t="s">
        <v>14</v>
      </c>
      <c r="G305">
        <v>3</v>
      </c>
      <c r="H305">
        <v>850000</v>
      </c>
      <c r="I305">
        <v>620000</v>
      </c>
      <c r="J305">
        <v>0</v>
      </c>
      <c r="K305" s="17">
        <f>(Fact_Ventas_Detalle[[#This Row],[Cantidad]]*Fact_Ventas_Detalle[[#This Row],[Precio Unitario]])-Fact_Ventas_Detalle[[#This Row],[Descuento Linea]]</f>
        <v>2550000</v>
      </c>
    </row>
    <row r="306" spans="1:11" x14ac:dyDescent="0.25">
      <c r="A306">
        <v>26</v>
      </c>
      <c r="B306" s="17" t="s">
        <v>110</v>
      </c>
      <c r="C306">
        <v>3</v>
      </c>
      <c r="D306" s="17" t="s">
        <v>27</v>
      </c>
      <c r="E306" s="17" t="s">
        <v>28</v>
      </c>
      <c r="F306" s="17" t="s">
        <v>29</v>
      </c>
      <c r="G306">
        <v>3</v>
      </c>
      <c r="H306">
        <v>240000</v>
      </c>
      <c r="I306">
        <v>150000</v>
      </c>
      <c r="J306">
        <v>0</v>
      </c>
      <c r="K306" s="17">
        <f>(Fact_Ventas_Detalle[[#This Row],[Cantidad]]*Fact_Ventas_Detalle[[#This Row],[Precio Unitario]])-Fact_Ventas_Detalle[[#This Row],[Descuento Linea]]</f>
        <v>720000</v>
      </c>
    </row>
    <row r="307" spans="1:11" x14ac:dyDescent="0.25">
      <c r="A307">
        <v>26</v>
      </c>
      <c r="B307" s="17" t="s">
        <v>692</v>
      </c>
      <c r="C307">
        <v>3</v>
      </c>
      <c r="D307" s="17" t="s">
        <v>31</v>
      </c>
      <c r="E307" s="17" t="s">
        <v>32</v>
      </c>
      <c r="F307" s="17" t="s">
        <v>33</v>
      </c>
      <c r="G307">
        <v>2</v>
      </c>
      <c r="H307">
        <v>25000</v>
      </c>
      <c r="I307">
        <v>11000</v>
      </c>
      <c r="J307">
        <v>0</v>
      </c>
      <c r="K307" s="17">
        <f>(Fact_Ventas_Detalle[[#This Row],[Cantidad]]*Fact_Ventas_Detalle[[#This Row],[Precio Unitario]])-Fact_Ventas_Detalle[[#This Row],[Descuento Linea]]</f>
        <v>50000</v>
      </c>
    </row>
    <row r="308" spans="1:11" x14ac:dyDescent="0.25">
      <c r="A308">
        <v>26</v>
      </c>
      <c r="B308" s="17" t="s">
        <v>111</v>
      </c>
      <c r="C308">
        <v>3</v>
      </c>
      <c r="D308" s="17" t="s">
        <v>17</v>
      </c>
      <c r="E308" s="17" t="s">
        <v>18</v>
      </c>
      <c r="F308" s="17" t="s">
        <v>19</v>
      </c>
      <c r="G308">
        <v>2</v>
      </c>
      <c r="H308">
        <v>65000</v>
      </c>
      <c r="I308">
        <v>35000</v>
      </c>
      <c r="J308">
        <v>13000</v>
      </c>
      <c r="K308" s="17">
        <f>(Fact_Ventas_Detalle[[#This Row],[Cantidad]]*Fact_Ventas_Detalle[[#This Row],[Precio Unitario]])-Fact_Ventas_Detalle[[#This Row],[Descuento Linea]]</f>
        <v>117000</v>
      </c>
    </row>
    <row r="309" spans="1:11" x14ac:dyDescent="0.25">
      <c r="A309">
        <v>26</v>
      </c>
      <c r="B309" s="17" t="s">
        <v>113</v>
      </c>
      <c r="C309">
        <v>3</v>
      </c>
      <c r="D309" s="17" t="s">
        <v>27</v>
      </c>
      <c r="E309" s="17" t="s">
        <v>28</v>
      </c>
      <c r="F309" s="17" t="s">
        <v>29</v>
      </c>
      <c r="G309">
        <v>2</v>
      </c>
      <c r="H309">
        <v>240000</v>
      </c>
      <c r="I309">
        <v>150000</v>
      </c>
      <c r="J309">
        <v>24000</v>
      </c>
      <c r="K309" s="17">
        <f>(Fact_Ventas_Detalle[[#This Row],[Cantidad]]*Fact_Ventas_Detalle[[#This Row],[Precio Unitario]])-Fact_Ventas_Detalle[[#This Row],[Descuento Linea]]</f>
        <v>456000</v>
      </c>
    </row>
    <row r="310" spans="1:11" x14ac:dyDescent="0.25">
      <c r="A310">
        <v>26</v>
      </c>
      <c r="B310" s="17" t="s">
        <v>114</v>
      </c>
      <c r="C310">
        <v>2</v>
      </c>
      <c r="D310" s="17" t="s">
        <v>12</v>
      </c>
      <c r="E310" s="17" t="s">
        <v>13</v>
      </c>
      <c r="F310" s="17" t="s">
        <v>14</v>
      </c>
      <c r="G310">
        <v>1</v>
      </c>
      <c r="H310">
        <v>280000</v>
      </c>
      <c r="I310">
        <v>190000</v>
      </c>
      <c r="J310">
        <v>14000</v>
      </c>
      <c r="K310" s="17">
        <f>(Fact_Ventas_Detalle[[#This Row],[Cantidad]]*Fact_Ventas_Detalle[[#This Row],[Precio Unitario]])-Fact_Ventas_Detalle[[#This Row],[Descuento Linea]]</f>
        <v>266000</v>
      </c>
    </row>
    <row r="311" spans="1:11" x14ac:dyDescent="0.25">
      <c r="A311">
        <v>26</v>
      </c>
      <c r="B311" s="17" t="s">
        <v>525</v>
      </c>
      <c r="C311">
        <v>1</v>
      </c>
      <c r="D311" s="17" t="s">
        <v>42</v>
      </c>
      <c r="E311" s="17" t="s">
        <v>43</v>
      </c>
      <c r="F311" s="17" t="s">
        <v>29</v>
      </c>
      <c r="G311">
        <v>2</v>
      </c>
      <c r="H311">
        <v>185000</v>
      </c>
      <c r="I311">
        <v>115000</v>
      </c>
      <c r="J311">
        <v>37000</v>
      </c>
      <c r="K311" s="17">
        <f>(Fact_Ventas_Detalle[[#This Row],[Cantidad]]*Fact_Ventas_Detalle[[#This Row],[Precio Unitario]])-Fact_Ventas_Detalle[[#This Row],[Descuento Linea]]</f>
        <v>333000</v>
      </c>
    </row>
    <row r="312" spans="1:11" x14ac:dyDescent="0.25">
      <c r="A312">
        <v>26</v>
      </c>
      <c r="B312" s="17" t="s">
        <v>118</v>
      </c>
      <c r="C312">
        <v>1</v>
      </c>
      <c r="D312" s="17" t="s">
        <v>31</v>
      </c>
      <c r="E312" s="17" t="s">
        <v>32</v>
      </c>
      <c r="F312" s="17" t="s">
        <v>33</v>
      </c>
      <c r="G312">
        <v>1</v>
      </c>
      <c r="H312">
        <v>25000</v>
      </c>
      <c r="I312">
        <v>11000</v>
      </c>
      <c r="J312">
        <v>1250</v>
      </c>
      <c r="K312" s="17">
        <f>(Fact_Ventas_Detalle[[#This Row],[Cantidad]]*Fact_Ventas_Detalle[[#This Row],[Precio Unitario]])-Fact_Ventas_Detalle[[#This Row],[Descuento Linea]]</f>
        <v>23750</v>
      </c>
    </row>
    <row r="313" spans="1:11" x14ac:dyDescent="0.25">
      <c r="A313">
        <v>26</v>
      </c>
      <c r="B313" s="17" t="s">
        <v>732</v>
      </c>
      <c r="C313">
        <v>1</v>
      </c>
      <c r="D313" s="17" t="s">
        <v>17</v>
      </c>
      <c r="E313" s="17" t="s">
        <v>18</v>
      </c>
      <c r="F313" s="17" t="s">
        <v>19</v>
      </c>
      <c r="G313">
        <v>1</v>
      </c>
      <c r="H313">
        <v>65000</v>
      </c>
      <c r="I313">
        <v>35000</v>
      </c>
      <c r="J313">
        <v>6500</v>
      </c>
      <c r="K313" s="17">
        <f>(Fact_Ventas_Detalle[[#This Row],[Cantidad]]*Fact_Ventas_Detalle[[#This Row],[Precio Unitario]])-Fact_Ventas_Detalle[[#This Row],[Descuento Linea]]</f>
        <v>58500</v>
      </c>
    </row>
    <row r="314" spans="1:11" x14ac:dyDescent="0.25">
      <c r="A314">
        <v>27</v>
      </c>
      <c r="B314" s="17" t="s">
        <v>119</v>
      </c>
      <c r="C314">
        <v>1</v>
      </c>
      <c r="D314" s="17" t="s">
        <v>27</v>
      </c>
      <c r="E314" s="17" t="s">
        <v>28</v>
      </c>
      <c r="F314" s="17" t="s">
        <v>29</v>
      </c>
      <c r="G314">
        <v>3</v>
      </c>
      <c r="H314">
        <v>240000</v>
      </c>
      <c r="I314">
        <v>150000</v>
      </c>
      <c r="J314">
        <v>0</v>
      </c>
      <c r="K314" s="17">
        <f>(Fact_Ventas_Detalle[[#This Row],[Cantidad]]*Fact_Ventas_Detalle[[#This Row],[Precio Unitario]])-Fact_Ventas_Detalle[[#This Row],[Descuento Linea]]</f>
        <v>720000</v>
      </c>
    </row>
    <row r="315" spans="1:11" x14ac:dyDescent="0.25">
      <c r="A315">
        <v>27</v>
      </c>
      <c r="B315" s="17" t="s">
        <v>446</v>
      </c>
      <c r="C315">
        <v>1</v>
      </c>
      <c r="D315" s="17" t="s">
        <v>27</v>
      </c>
      <c r="E315" s="17" t="s">
        <v>28</v>
      </c>
      <c r="F315" s="17" t="s">
        <v>29</v>
      </c>
      <c r="G315">
        <v>3</v>
      </c>
      <c r="H315">
        <v>240000</v>
      </c>
      <c r="I315">
        <v>150000</v>
      </c>
      <c r="J315">
        <v>0</v>
      </c>
      <c r="K315" s="17">
        <f>(Fact_Ventas_Detalle[[#This Row],[Cantidad]]*Fact_Ventas_Detalle[[#This Row],[Precio Unitario]])-Fact_Ventas_Detalle[[#This Row],[Descuento Linea]]</f>
        <v>720000</v>
      </c>
    </row>
    <row r="316" spans="1:11" x14ac:dyDescent="0.25">
      <c r="A316">
        <v>27</v>
      </c>
      <c r="B316" s="17" t="s">
        <v>118</v>
      </c>
      <c r="C316">
        <v>2</v>
      </c>
      <c r="D316" s="17" t="s">
        <v>24</v>
      </c>
      <c r="E316" s="17" t="s">
        <v>25</v>
      </c>
      <c r="F316" s="17" t="s">
        <v>14</v>
      </c>
      <c r="G316">
        <v>3</v>
      </c>
      <c r="H316">
        <v>850000</v>
      </c>
      <c r="I316">
        <v>620000</v>
      </c>
      <c r="J316">
        <v>0</v>
      </c>
      <c r="K316" s="17">
        <f>(Fact_Ventas_Detalle[[#This Row],[Cantidad]]*Fact_Ventas_Detalle[[#This Row],[Precio Unitario]])-Fact_Ventas_Detalle[[#This Row],[Descuento Linea]]</f>
        <v>2550000</v>
      </c>
    </row>
    <row r="317" spans="1:11" x14ac:dyDescent="0.25">
      <c r="A317">
        <v>27</v>
      </c>
      <c r="B317" s="17" t="s">
        <v>115</v>
      </c>
      <c r="C317">
        <v>3</v>
      </c>
      <c r="D317" s="17" t="s">
        <v>12</v>
      </c>
      <c r="E317" s="17" t="s">
        <v>13</v>
      </c>
      <c r="F317" s="17" t="s">
        <v>14</v>
      </c>
      <c r="G317">
        <v>3</v>
      </c>
      <c r="H317">
        <v>280000</v>
      </c>
      <c r="I317">
        <v>190000</v>
      </c>
      <c r="J317">
        <v>0</v>
      </c>
      <c r="K317" s="17">
        <f>(Fact_Ventas_Detalle[[#This Row],[Cantidad]]*Fact_Ventas_Detalle[[#This Row],[Precio Unitario]])-Fact_Ventas_Detalle[[#This Row],[Descuento Linea]]</f>
        <v>840000</v>
      </c>
    </row>
    <row r="318" spans="1:11" x14ac:dyDescent="0.25">
      <c r="A318">
        <v>27</v>
      </c>
      <c r="B318" s="17" t="s">
        <v>111</v>
      </c>
      <c r="C318">
        <v>4</v>
      </c>
      <c r="D318" s="17" t="s">
        <v>31</v>
      </c>
      <c r="E318" s="17" t="s">
        <v>32</v>
      </c>
      <c r="F318" s="17" t="s">
        <v>33</v>
      </c>
      <c r="G318">
        <v>2</v>
      </c>
      <c r="H318">
        <v>25000</v>
      </c>
      <c r="I318">
        <v>11000</v>
      </c>
      <c r="J318">
        <v>0</v>
      </c>
      <c r="K318" s="17">
        <f>(Fact_Ventas_Detalle[[#This Row],[Cantidad]]*Fact_Ventas_Detalle[[#This Row],[Precio Unitario]])-Fact_Ventas_Detalle[[#This Row],[Descuento Linea]]</f>
        <v>50000</v>
      </c>
    </row>
    <row r="319" spans="1:11" x14ac:dyDescent="0.25">
      <c r="A319">
        <v>27</v>
      </c>
      <c r="B319" s="17" t="s">
        <v>692</v>
      </c>
      <c r="C319">
        <v>4</v>
      </c>
      <c r="D319" s="17" t="s">
        <v>31</v>
      </c>
      <c r="E319" s="17" t="s">
        <v>32</v>
      </c>
      <c r="F319" s="17" t="s">
        <v>33</v>
      </c>
      <c r="G319">
        <v>2</v>
      </c>
      <c r="H319">
        <v>25000</v>
      </c>
      <c r="I319">
        <v>11000</v>
      </c>
      <c r="J319">
        <v>5000</v>
      </c>
      <c r="K319" s="17">
        <f>(Fact_Ventas_Detalle[[#This Row],[Cantidad]]*Fact_Ventas_Detalle[[#This Row],[Precio Unitario]])-Fact_Ventas_Detalle[[#This Row],[Descuento Linea]]</f>
        <v>45000</v>
      </c>
    </row>
    <row r="320" spans="1:11" x14ac:dyDescent="0.25">
      <c r="A320">
        <v>27</v>
      </c>
      <c r="B320" s="17" t="s">
        <v>114</v>
      </c>
      <c r="C320">
        <v>3</v>
      </c>
      <c r="D320" s="17" t="s">
        <v>24</v>
      </c>
      <c r="E320" s="17" t="s">
        <v>25</v>
      </c>
      <c r="F320" s="17" t="s">
        <v>14</v>
      </c>
      <c r="G320">
        <v>1</v>
      </c>
      <c r="H320">
        <v>850000</v>
      </c>
      <c r="I320">
        <v>620000</v>
      </c>
      <c r="J320">
        <v>42500</v>
      </c>
      <c r="K320" s="17">
        <f>(Fact_Ventas_Detalle[[#This Row],[Cantidad]]*Fact_Ventas_Detalle[[#This Row],[Precio Unitario]])-Fact_Ventas_Detalle[[#This Row],[Descuento Linea]]</f>
        <v>807500</v>
      </c>
    </row>
    <row r="321" spans="1:11" x14ac:dyDescent="0.25">
      <c r="A321">
        <v>27</v>
      </c>
      <c r="B321" s="17" t="s">
        <v>116</v>
      </c>
      <c r="C321">
        <v>2</v>
      </c>
      <c r="D321" s="17" t="s">
        <v>39</v>
      </c>
      <c r="E321" s="17" t="s">
        <v>40</v>
      </c>
      <c r="F321" s="17" t="s">
        <v>14</v>
      </c>
      <c r="G321">
        <v>1</v>
      </c>
      <c r="H321">
        <v>75000</v>
      </c>
      <c r="I321">
        <v>42000</v>
      </c>
      <c r="J321">
        <v>3750</v>
      </c>
      <c r="K321" s="17">
        <f>(Fact_Ventas_Detalle[[#This Row],[Cantidad]]*Fact_Ventas_Detalle[[#This Row],[Precio Unitario]])-Fact_Ventas_Detalle[[#This Row],[Descuento Linea]]</f>
        <v>71250</v>
      </c>
    </row>
    <row r="322" spans="1:11" x14ac:dyDescent="0.25">
      <c r="A322">
        <v>27</v>
      </c>
      <c r="B322" s="17" t="s">
        <v>117</v>
      </c>
      <c r="C322">
        <v>2</v>
      </c>
      <c r="D322" s="17" t="s">
        <v>42</v>
      </c>
      <c r="E322" s="17" t="s">
        <v>43</v>
      </c>
      <c r="F322" s="17" t="s">
        <v>29</v>
      </c>
      <c r="G322">
        <v>3</v>
      </c>
      <c r="H322">
        <v>185000</v>
      </c>
      <c r="I322">
        <v>115000</v>
      </c>
      <c r="J322">
        <v>55500</v>
      </c>
      <c r="K322" s="17">
        <f>(Fact_Ventas_Detalle[[#This Row],[Cantidad]]*Fact_Ventas_Detalle[[#This Row],[Precio Unitario]])-Fact_Ventas_Detalle[[#This Row],[Descuento Linea]]</f>
        <v>499500</v>
      </c>
    </row>
    <row r="323" spans="1:11" x14ac:dyDescent="0.25">
      <c r="A323">
        <v>27</v>
      </c>
      <c r="B323" s="17" t="s">
        <v>525</v>
      </c>
      <c r="C323">
        <v>2</v>
      </c>
      <c r="D323" s="17" t="s">
        <v>31</v>
      </c>
      <c r="E323" s="17" t="s">
        <v>32</v>
      </c>
      <c r="F323" s="17" t="s">
        <v>33</v>
      </c>
      <c r="G323">
        <v>2</v>
      </c>
      <c r="H323">
        <v>25000</v>
      </c>
      <c r="I323">
        <v>11000</v>
      </c>
      <c r="J323">
        <v>5000</v>
      </c>
      <c r="K323" s="17">
        <f>(Fact_Ventas_Detalle[[#This Row],[Cantidad]]*Fact_Ventas_Detalle[[#This Row],[Precio Unitario]])-Fact_Ventas_Detalle[[#This Row],[Descuento Linea]]</f>
        <v>45000</v>
      </c>
    </row>
    <row r="324" spans="1:11" x14ac:dyDescent="0.25">
      <c r="A324">
        <v>27</v>
      </c>
      <c r="B324" s="17" t="s">
        <v>120</v>
      </c>
      <c r="C324">
        <v>1</v>
      </c>
      <c r="D324" s="17" t="s">
        <v>39</v>
      </c>
      <c r="E324" s="17" t="s">
        <v>40</v>
      </c>
      <c r="F324" s="17" t="s">
        <v>14</v>
      </c>
      <c r="G324">
        <v>2</v>
      </c>
      <c r="H324">
        <v>75000</v>
      </c>
      <c r="I324">
        <v>42000</v>
      </c>
      <c r="J324">
        <v>7500</v>
      </c>
      <c r="K324" s="17">
        <f>(Fact_Ventas_Detalle[[#This Row],[Cantidad]]*Fact_Ventas_Detalle[[#This Row],[Precio Unitario]])-Fact_Ventas_Detalle[[#This Row],[Descuento Linea]]</f>
        <v>142500</v>
      </c>
    </row>
    <row r="325" spans="1:11" x14ac:dyDescent="0.25">
      <c r="A325">
        <v>27</v>
      </c>
      <c r="B325" s="17" t="s">
        <v>577</v>
      </c>
      <c r="C325">
        <v>1</v>
      </c>
      <c r="D325" s="17" t="s">
        <v>37</v>
      </c>
      <c r="E325" s="17" t="s">
        <v>38</v>
      </c>
      <c r="F325" s="17" t="s">
        <v>33</v>
      </c>
      <c r="G325">
        <v>1</v>
      </c>
      <c r="H325">
        <v>45000</v>
      </c>
      <c r="I325">
        <v>22000</v>
      </c>
      <c r="J325">
        <v>4500</v>
      </c>
      <c r="K325" s="17">
        <f>(Fact_Ventas_Detalle[[#This Row],[Cantidad]]*Fact_Ventas_Detalle[[#This Row],[Precio Unitario]])-Fact_Ventas_Detalle[[#This Row],[Descuento Linea]]</f>
        <v>40500</v>
      </c>
    </row>
    <row r="326" spans="1:11" x14ac:dyDescent="0.25">
      <c r="A326">
        <v>28</v>
      </c>
      <c r="B326" s="17" t="s">
        <v>122</v>
      </c>
      <c r="C326">
        <v>1</v>
      </c>
      <c r="D326" s="17" t="s">
        <v>37</v>
      </c>
      <c r="E326" s="17" t="s">
        <v>38</v>
      </c>
      <c r="F326" s="17" t="s">
        <v>33</v>
      </c>
      <c r="G326">
        <v>3</v>
      </c>
      <c r="H326">
        <v>45000</v>
      </c>
      <c r="I326">
        <v>22000</v>
      </c>
      <c r="J326">
        <v>0</v>
      </c>
      <c r="K326" s="17">
        <f>(Fact_Ventas_Detalle[[#This Row],[Cantidad]]*Fact_Ventas_Detalle[[#This Row],[Precio Unitario]])-Fact_Ventas_Detalle[[#This Row],[Descuento Linea]]</f>
        <v>135000</v>
      </c>
    </row>
    <row r="327" spans="1:11" x14ac:dyDescent="0.25">
      <c r="A327">
        <v>28</v>
      </c>
      <c r="B327" s="17" t="s">
        <v>121</v>
      </c>
      <c r="C327">
        <v>1</v>
      </c>
      <c r="D327" s="17" t="s">
        <v>42</v>
      </c>
      <c r="E327" s="17" t="s">
        <v>43</v>
      </c>
      <c r="F327" s="17" t="s">
        <v>29</v>
      </c>
      <c r="G327">
        <v>1</v>
      </c>
      <c r="H327">
        <v>185000</v>
      </c>
      <c r="I327">
        <v>115000</v>
      </c>
      <c r="J327">
        <v>0</v>
      </c>
      <c r="K327" s="17">
        <f>(Fact_Ventas_Detalle[[#This Row],[Cantidad]]*Fact_Ventas_Detalle[[#This Row],[Precio Unitario]])-Fact_Ventas_Detalle[[#This Row],[Descuento Linea]]</f>
        <v>185000</v>
      </c>
    </row>
    <row r="328" spans="1:11" x14ac:dyDescent="0.25">
      <c r="A328">
        <v>28</v>
      </c>
      <c r="B328" s="17" t="s">
        <v>123</v>
      </c>
      <c r="C328">
        <v>1</v>
      </c>
      <c r="D328" s="17" t="s">
        <v>37</v>
      </c>
      <c r="E328" s="17" t="s">
        <v>38</v>
      </c>
      <c r="F328" s="17" t="s">
        <v>33</v>
      </c>
      <c r="G328">
        <v>1</v>
      </c>
      <c r="H328">
        <v>45000</v>
      </c>
      <c r="I328">
        <v>22000</v>
      </c>
      <c r="J328">
        <v>0</v>
      </c>
      <c r="K328" s="17">
        <f>(Fact_Ventas_Detalle[[#This Row],[Cantidad]]*Fact_Ventas_Detalle[[#This Row],[Precio Unitario]])-Fact_Ventas_Detalle[[#This Row],[Descuento Linea]]</f>
        <v>45000</v>
      </c>
    </row>
    <row r="329" spans="1:11" x14ac:dyDescent="0.25">
      <c r="A329">
        <v>28</v>
      </c>
      <c r="B329" s="17" t="s">
        <v>120</v>
      </c>
      <c r="C329">
        <v>2</v>
      </c>
      <c r="D329" s="17" t="s">
        <v>24</v>
      </c>
      <c r="E329" s="17" t="s">
        <v>25</v>
      </c>
      <c r="F329" s="17" t="s">
        <v>14</v>
      </c>
      <c r="G329">
        <v>3</v>
      </c>
      <c r="H329">
        <v>850000</v>
      </c>
      <c r="I329">
        <v>620000</v>
      </c>
      <c r="J329">
        <v>0</v>
      </c>
      <c r="K329" s="17">
        <f>(Fact_Ventas_Detalle[[#This Row],[Cantidad]]*Fact_Ventas_Detalle[[#This Row],[Precio Unitario]])-Fact_Ventas_Detalle[[#This Row],[Descuento Linea]]</f>
        <v>2550000</v>
      </c>
    </row>
    <row r="330" spans="1:11" x14ac:dyDescent="0.25">
      <c r="A330">
        <v>28</v>
      </c>
      <c r="B330" s="17" t="s">
        <v>119</v>
      </c>
      <c r="C330">
        <v>2</v>
      </c>
      <c r="D330" s="17" t="s">
        <v>31</v>
      </c>
      <c r="E330" s="17" t="s">
        <v>32</v>
      </c>
      <c r="F330" s="17" t="s">
        <v>33</v>
      </c>
      <c r="G330">
        <v>1</v>
      </c>
      <c r="H330">
        <v>25000</v>
      </c>
      <c r="I330">
        <v>11000</v>
      </c>
      <c r="J330">
        <v>0</v>
      </c>
      <c r="K330" s="17">
        <f>(Fact_Ventas_Detalle[[#This Row],[Cantidad]]*Fact_Ventas_Detalle[[#This Row],[Precio Unitario]])-Fact_Ventas_Detalle[[#This Row],[Descuento Linea]]</f>
        <v>25000</v>
      </c>
    </row>
    <row r="331" spans="1:11" x14ac:dyDescent="0.25">
      <c r="A331">
        <v>28</v>
      </c>
      <c r="B331" s="17" t="s">
        <v>577</v>
      </c>
      <c r="C331">
        <v>2</v>
      </c>
      <c r="D331" s="17" t="s">
        <v>12</v>
      </c>
      <c r="E331" s="17" t="s">
        <v>13</v>
      </c>
      <c r="F331" s="17" t="s">
        <v>14</v>
      </c>
      <c r="G331">
        <v>1</v>
      </c>
      <c r="H331">
        <v>280000</v>
      </c>
      <c r="I331">
        <v>190000</v>
      </c>
      <c r="J331">
        <v>0</v>
      </c>
      <c r="K331" s="17">
        <f>(Fact_Ventas_Detalle[[#This Row],[Cantidad]]*Fact_Ventas_Detalle[[#This Row],[Precio Unitario]])-Fact_Ventas_Detalle[[#This Row],[Descuento Linea]]</f>
        <v>280000</v>
      </c>
    </row>
    <row r="332" spans="1:11" x14ac:dyDescent="0.25">
      <c r="A332">
        <v>28</v>
      </c>
      <c r="B332" s="17" t="s">
        <v>116</v>
      </c>
      <c r="C332">
        <v>3</v>
      </c>
      <c r="D332" s="17" t="s">
        <v>31</v>
      </c>
      <c r="E332" s="17" t="s">
        <v>32</v>
      </c>
      <c r="F332" s="17" t="s">
        <v>33</v>
      </c>
      <c r="G332">
        <v>3</v>
      </c>
      <c r="H332">
        <v>25000</v>
      </c>
      <c r="I332">
        <v>11000</v>
      </c>
      <c r="J332">
        <v>0</v>
      </c>
      <c r="K332" s="17">
        <f>(Fact_Ventas_Detalle[[#This Row],[Cantidad]]*Fact_Ventas_Detalle[[#This Row],[Precio Unitario]])-Fact_Ventas_Detalle[[#This Row],[Descuento Linea]]</f>
        <v>75000</v>
      </c>
    </row>
    <row r="333" spans="1:11" x14ac:dyDescent="0.25">
      <c r="A333">
        <v>28</v>
      </c>
      <c r="B333" s="17" t="s">
        <v>117</v>
      </c>
      <c r="C333">
        <v>3</v>
      </c>
      <c r="D333" s="17" t="s">
        <v>17</v>
      </c>
      <c r="E333" s="17" t="s">
        <v>18</v>
      </c>
      <c r="F333" s="17" t="s">
        <v>19</v>
      </c>
      <c r="G333">
        <v>3</v>
      </c>
      <c r="H333">
        <v>65000</v>
      </c>
      <c r="I333">
        <v>35000</v>
      </c>
      <c r="J333">
        <v>0</v>
      </c>
      <c r="K333" s="17">
        <f>(Fact_Ventas_Detalle[[#This Row],[Cantidad]]*Fact_Ventas_Detalle[[#This Row],[Precio Unitario]])-Fact_Ventas_Detalle[[#This Row],[Descuento Linea]]</f>
        <v>195000</v>
      </c>
    </row>
    <row r="334" spans="1:11" x14ac:dyDescent="0.25">
      <c r="A334">
        <v>28</v>
      </c>
      <c r="B334" s="17" t="s">
        <v>115</v>
      </c>
      <c r="C334">
        <v>4</v>
      </c>
      <c r="D334" s="17" t="s">
        <v>12</v>
      </c>
      <c r="E334" s="17" t="s">
        <v>13</v>
      </c>
      <c r="F334" s="17" t="s">
        <v>14</v>
      </c>
      <c r="G334">
        <v>2</v>
      </c>
      <c r="H334">
        <v>280000</v>
      </c>
      <c r="I334">
        <v>190000</v>
      </c>
      <c r="J334">
        <v>56000</v>
      </c>
      <c r="K334" s="17">
        <f>(Fact_Ventas_Detalle[[#This Row],[Cantidad]]*Fact_Ventas_Detalle[[#This Row],[Precio Unitario]])-Fact_Ventas_Detalle[[#This Row],[Descuento Linea]]</f>
        <v>504000</v>
      </c>
    </row>
    <row r="335" spans="1:11" x14ac:dyDescent="0.25">
      <c r="A335">
        <v>28</v>
      </c>
      <c r="B335" s="17" t="s">
        <v>525</v>
      </c>
      <c r="C335">
        <v>3</v>
      </c>
      <c r="D335" s="17" t="s">
        <v>27</v>
      </c>
      <c r="E335" s="17" t="s">
        <v>28</v>
      </c>
      <c r="F335" s="17" t="s">
        <v>29</v>
      </c>
      <c r="G335">
        <v>3</v>
      </c>
      <c r="H335">
        <v>240000</v>
      </c>
      <c r="I335">
        <v>150000</v>
      </c>
      <c r="J335">
        <v>36000</v>
      </c>
      <c r="K335" s="17">
        <f>(Fact_Ventas_Detalle[[#This Row],[Cantidad]]*Fact_Ventas_Detalle[[#This Row],[Precio Unitario]])-Fact_Ventas_Detalle[[#This Row],[Descuento Linea]]</f>
        <v>684000</v>
      </c>
    </row>
    <row r="336" spans="1:11" x14ac:dyDescent="0.25">
      <c r="A336">
        <v>28</v>
      </c>
      <c r="B336" s="17" t="s">
        <v>446</v>
      </c>
      <c r="C336">
        <v>2</v>
      </c>
      <c r="D336" s="17" t="s">
        <v>39</v>
      </c>
      <c r="E336" s="17" t="s">
        <v>40</v>
      </c>
      <c r="F336" s="17" t="s">
        <v>14</v>
      </c>
      <c r="G336">
        <v>2</v>
      </c>
      <c r="H336">
        <v>75000</v>
      </c>
      <c r="I336">
        <v>42000</v>
      </c>
      <c r="J336">
        <v>15000</v>
      </c>
      <c r="K336" s="17">
        <f>(Fact_Ventas_Detalle[[#This Row],[Cantidad]]*Fact_Ventas_Detalle[[#This Row],[Precio Unitario]])-Fact_Ventas_Detalle[[#This Row],[Descuento Linea]]</f>
        <v>135000</v>
      </c>
    </row>
    <row r="337" spans="1:11" x14ac:dyDescent="0.25">
      <c r="A337">
        <v>28</v>
      </c>
      <c r="B337" s="17" t="s">
        <v>694</v>
      </c>
      <c r="C337">
        <v>1</v>
      </c>
      <c r="D337" s="17" t="s">
        <v>39</v>
      </c>
      <c r="E337" s="17" t="s">
        <v>40</v>
      </c>
      <c r="F337" s="17" t="s">
        <v>14</v>
      </c>
      <c r="G337">
        <v>2</v>
      </c>
      <c r="H337">
        <v>75000</v>
      </c>
      <c r="I337">
        <v>42000</v>
      </c>
      <c r="J337">
        <v>15000</v>
      </c>
      <c r="K337" s="17">
        <f>(Fact_Ventas_Detalle[[#This Row],[Cantidad]]*Fact_Ventas_Detalle[[#This Row],[Precio Unitario]])-Fact_Ventas_Detalle[[#This Row],[Descuento Linea]]</f>
        <v>135000</v>
      </c>
    </row>
    <row r="338" spans="1:11" x14ac:dyDescent="0.25">
      <c r="A338">
        <v>29</v>
      </c>
      <c r="B338" s="17" t="s">
        <v>124</v>
      </c>
      <c r="C338">
        <v>1</v>
      </c>
      <c r="D338" s="17" t="s">
        <v>39</v>
      </c>
      <c r="E338" s="17" t="s">
        <v>40</v>
      </c>
      <c r="F338" s="17" t="s">
        <v>14</v>
      </c>
      <c r="G338">
        <v>1</v>
      </c>
      <c r="H338">
        <v>75000</v>
      </c>
      <c r="I338">
        <v>42000</v>
      </c>
      <c r="J338">
        <v>0</v>
      </c>
      <c r="K338" s="17">
        <f>(Fact_Ventas_Detalle[[#This Row],[Cantidad]]*Fact_Ventas_Detalle[[#This Row],[Precio Unitario]])-Fact_Ventas_Detalle[[#This Row],[Descuento Linea]]</f>
        <v>75000</v>
      </c>
    </row>
    <row r="339" spans="1:11" x14ac:dyDescent="0.25">
      <c r="A339">
        <v>29</v>
      </c>
      <c r="B339" s="17" t="s">
        <v>686</v>
      </c>
      <c r="C339">
        <v>1</v>
      </c>
      <c r="D339" s="17" t="s">
        <v>37</v>
      </c>
      <c r="E339" s="17" t="s">
        <v>38</v>
      </c>
      <c r="F339" s="17" t="s">
        <v>33</v>
      </c>
      <c r="G339">
        <v>1</v>
      </c>
      <c r="H339">
        <v>45000</v>
      </c>
      <c r="I339">
        <v>22000</v>
      </c>
      <c r="J339">
        <v>0</v>
      </c>
      <c r="K339" s="17">
        <f>(Fact_Ventas_Detalle[[#This Row],[Cantidad]]*Fact_Ventas_Detalle[[#This Row],[Precio Unitario]])-Fact_Ventas_Detalle[[#This Row],[Descuento Linea]]</f>
        <v>45000</v>
      </c>
    </row>
    <row r="340" spans="1:11" x14ac:dyDescent="0.25">
      <c r="A340">
        <v>29</v>
      </c>
      <c r="B340" s="17" t="s">
        <v>122</v>
      </c>
      <c r="C340">
        <v>2</v>
      </c>
      <c r="D340" s="17" t="s">
        <v>27</v>
      </c>
      <c r="E340" s="17" t="s">
        <v>28</v>
      </c>
      <c r="F340" s="17" t="s">
        <v>29</v>
      </c>
      <c r="G340">
        <v>3</v>
      </c>
      <c r="H340">
        <v>240000</v>
      </c>
      <c r="I340">
        <v>150000</v>
      </c>
      <c r="J340">
        <v>0</v>
      </c>
      <c r="K340" s="17">
        <f>(Fact_Ventas_Detalle[[#This Row],[Cantidad]]*Fact_Ventas_Detalle[[#This Row],[Precio Unitario]])-Fact_Ventas_Detalle[[#This Row],[Descuento Linea]]</f>
        <v>720000</v>
      </c>
    </row>
    <row r="341" spans="1:11" x14ac:dyDescent="0.25">
      <c r="A341">
        <v>29</v>
      </c>
      <c r="B341" s="17" t="s">
        <v>119</v>
      </c>
      <c r="C341">
        <v>3</v>
      </c>
      <c r="D341" s="17" t="s">
        <v>17</v>
      </c>
      <c r="E341" s="17" t="s">
        <v>18</v>
      </c>
      <c r="F341" s="17" t="s">
        <v>19</v>
      </c>
      <c r="G341">
        <v>3</v>
      </c>
      <c r="H341">
        <v>65000</v>
      </c>
      <c r="I341">
        <v>35000</v>
      </c>
      <c r="J341">
        <v>0</v>
      </c>
      <c r="K341" s="17">
        <f>(Fact_Ventas_Detalle[[#This Row],[Cantidad]]*Fact_Ventas_Detalle[[#This Row],[Precio Unitario]])-Fact_Ventas_Detalle[[#This Row],[Descuento Linea]]</f>
        <v>195000</v>
      </c>
    </row>
    <row r="342" spans="1:11" x14ac:dyDescent="0.25">
      <c r="A342">
        <v>29</v>
      </c>
      <c r="B342" s="17" t="s">
        <v>446</v>
      </c>
      <c r="C342">
        <v>3</v>
      </c>
      <c r="D342" s="17" t="s">
        <v>42</v>
      </c>
      <c r="E342" s="17" t="s">
        <v>43</v>
      </c>
      <c r="F342" s="17" t="s">
        <v>29</v>
      </c>
      <c r="G342">
        <v>2</v>
      </c>
      <c r="H342">
        <v>185000</v>
      </c>
      <c r="I342">
        <v>115000</v>
      </c>
      <c r="J342">
        <v>0</v>
      </c>
      <c r="K342" s="17">
        <f>(Fact_Ventas_Detalle[[#This Row],[Cantidad]]*Fact_Ventas_Detalle[[#This Row],[Precio Unitario]])-Fact_Ventas_Detalle[[#This Row],[Descuento Linea]]</f>
        <v>370000</v>
      </c>
    </row>
    <row r="343" spans="1:11" x14ac:dyDescent="0.25">
      <c r="A343">
        <v>29</v>
      </c>
      <c r="B343" s="17" t="s">
        <v>117</v>
      </c>
      <c r="C343">
        <v>4</v>
      </c>
      <c r="D343" s="17" t="s">
        <v>12</v>
      </c>
      <c r="E343" s="17" t="s">
        <v>13</v>
      </c>
      <c r="F343" s="17" t="s">
        <v>14</v>
      </c>
      <c r="G343">
        <v>3</v>
      </c>
      <c r="H343">
        <v>280000</v>
      </c>
      <c r="I343">
        <v>190000</v>
      </c>
      <c r="J343">
        <v>84000</v>
      </c>
      <c r="K343" s="17">
        <f>(Fact_Ventas_Detalle[[#This Row],[Cantidad]]*Fact_Ventas_Detalle[[#This Row],[Precio Unitario]])-Fact_Ventas_Detalle[[#This Row],[Descuento Linea]]</f>
        <v>756000</v>
      </c>
    </row>
    <row r="344" spans="1:11" x14ac:dyDescent="0.25">
      <c r="A344">
        <v>29</v>
      </c>
      <c r="B344" s="17" t="s">
        <v>120</v>
      </c>
      <c r="C344">
        <v>3</v>
      </c>
      <c r="D344" s="17" t="s">
        <v>17</v>
      </c>
      <c r="E344" s="17" t="s">
        <v>18</v>
      </c>
      <c r="F344" s="17" t="s">
        <v>19</v>
      </c>
      <c r="G344">
        <v>1</v>
      </c>
      <c r="H344">
        <v>65000</v>
      </c>
      <c r="I344">
        <v>35000</v>
      </c>
      <c r="J344">
        <v>3250</v>
      </c>
      <c r="K344" s="17">
        <f>(Fact_Ventas_Detalle[[#This Row],[Cantidad]]*Fact_Ventas_Detalle[[#This Row],[Precio Unitario]])-Fact_Ventas_Detalle[[#This Row],[Descuento Linea]]</f>
        <v>61750</v>
      </c>
    </row>
    <row r="345" spans="1:11" x14ac:dyDescent="0.25">
      <c r="A345">
        <v>29</v>
      </c>
      <c r="B345" s="17" t="s">
        <v>577</v>
      </c>
      <c r="C345">
        <v>3</v>
      </c>
      <c r="D345" s="17" t="s">
        <v>31</v>
      </c>
      <c r="E345" s="17" t="s">
        <v>32</v>
      </c>
      <c r="F345" s="17" t="s">
        <v>33</v>
      </c>
      <c r="G345">
        <v>1</v>
      </c>
      <c r="H345">
        <v>25000</v>
      </c>
      <c r="I345">
        <v>11000</v>
      </c>
      <c r="J345">
        <v>2500</v>
      </c>
      <c r="K345" s="17">
        <f>(Fact_Ventas_Detalle[[#This Row],[Cantidad]]*Fact_Ventas_Detalle[[#This Row],[Precio Unitario]])-Fact_Ventas_Detalle[[#This Row],[Descuento Linea]]</f>
        <v>22500</v>
      </c>
    </row>
    <row r="346" spans="1:11" x14ac:dyDescent="0.25">
      <c r="A346">
        <v>29</v>
      </c>
      <c r="B346" s="17" t="s">
        <v>123</v>
      </c>
      <c r="C346">
        <v>2</v>
      </c>
      <c r="D346" s="17" t="s">
        <v>24</v>
      </c>
      <c r="E346" s="17" t="s">
        <v>25</v>
      </c>
      <c r="F346" s="17" t="s">
        <v>14</v>
      </c>
      <c r="G346">
        <v>3</v>
      </c>
      <c r="H346">
        <v>850000</v>
      </c>
      <c r="I346">
        <v>620000</v>
      </c>
      <c r="J346">
        <v>127500</v>
      </c>
      <c r="K346" s="17">
        <f>(Fact_Ventas_Detalle[[#This Row],[Cantidad]]*Fact_Ventas_Detalle[[#This Row],[Precio Unitario]])-Fact_Ventas_Detalle[[#This Row],[Descuento Linea]]</f>
        <v>2422500</v>
      </c>
    </row>
    <row r="347" spans="1:11" x14ac:dyDescent="0.25">
      <c r="A347">
        <v>29</v>
      </c>
      <c r="B347" s="17" t="s">
        <v>694</v>
      </c>
      <c r="C347">
        <v>2</v>
      </c>
      <c r="D347" s="17" t="s">
        <v>12</v>
      </c>
      <c r="E347" s="17" t="s">
        <v>13</v>
      </c>
      <c r="F347" s="17" t="s">
        <v>14</v>
      </c>
      <c r="G347">
        <v>2</v>
      </c>
      <c r="H347">
        <v>280000</v>
      </c>
      <c r="I347">
        <v>190000</v>
      </c>
      <c r="J347">
        <v>28000</v>
      </c>
      <c r="K347" s="17">
        <f>(Fact_Ventas_Detalle[[#This Row],[Cantidad]]*Fact_Ventas_Detalle[[#This Row],[Precio Unitario]])-Fact_Ventas_Detalle[[#This Row],[Descuento Linea]]</f>
        <v>532000</v>
      </c>
    </row>
    <row r="348" spans="1:11" x14ac:dyDescent="0.25">
      <c r="A348">
        <v>29</v>
      </c>
      <c r="B348" s="17" t="s">
        <v>125</v>
      </c>
      <c r="C348">
        <v>1</v>
      </c>
      <c r="D348" s="17" t="s">
        <v>31</v>
      </c>
      <c r="E348" s="17" t="s">
        <v>32</v>
      </c>
      <c r="F348" s="17" t="s">
        <v>33</v>
      </c>
      <c r="G348">
        <v>2</v>
      </c>
      <c r="H348">
        <v>25000</v>
      </c>
      <c r="I348">
        <v>11000</v>
      </c>
      <c r="J348">
        <v>5000</v>
      </c>
      <c r="K348" s="17">
        <f>(Fact_Ventas_Detalle[[#This Row],[Cantidad]]*Fact_Ventas_Detalle[[#This Row],[Precio Unitario]])-Fact_Ventas_Detalle[[#This Row],[Descuento Linea]]</f>
        <v>45000</v>
      </c>
    </row>
    <row r="349" spans="1:11" x14ac:dyDescent="0.25">
      <c r="A349">
        <v>29</v>
      </c>
      <c r="B349" s="17" t="s">
        <v>126</v>
      </c>
      <c r="C349">
        <v>1</v>
      </c>
      <c r="D349" s="17" t="s">
        <v>27</v>
      </c>
      <c r="E349" s="17" t="s">
        <v>28</v>
      </c>
      <c r="F349" s="17" t="s">
        <v>29</v>
      </c>
      <c r="G349">
        <v>1</v>
      </c>
      <c r="H349">
        <v>240000</v>
      </c>
      <c r="I349">
        <v>150000</v>
      </c>
      <c r="J349">
        <v>12000</v>
      </c>
      <c r="K349" s="17">
        <f>(Fact_Ventas_Detalle[[#This Row],[Cantidad]]*Fact_Ventas_Detalle[[#This Row],[Precio Unitario]])-Fact_Ventas_Detalle[[#This Row],[Descuento Linea]]</f>
        <v>228000</v>
      </c>
    </row>
    <row r="350" spans="1:11" x14ac:dyDescent="0.25">
      <c r="A350">
        <v>30</v>
      </c>
      <c r="B350" s="17" t="s">
        <v>128</v>
      </c>
      <c r="C350">
        <v>1</v>
      </c>
      <c r="D350" s="17" t="s">
        <v>12</v>
      </c>
      <c r="E350" s="17" t="s">
        <v>13</v>
      </c>
      <c r="F350" s="17" t="s">
        <v>14</v>
      </c>
      <c r="G350">
        <v>3</v>
      </c>
      <c r="H350">
        <v>280000</v>
      </c>
      <c r="I350">
        <v>190000</v>
      </c>
      <c r="J350">
        <v>0</v>
      </c>
      <c r="K350" s="17">
        <f>(Fact_Ventas_Detalle[[#This Row],[Cantidad]]*Fact_Ventas_Detalle[[#This Row],[Precio Unitario]])-Fact_Ventas_Detalle[[#This Row],[Descuento Linea]]</f>
        <v>840000</v>
      </c>
    </row>
    <row r="351" spans="1:11" x14ac:dyDescent="0.25">
      <c r="A351">
        <v>30</v>
      </c>
      <c r="B351" s="17" t="s">
        <v>127</v>
      </c>
      <c r="C351">
        <v>1</v>
      </c>
      <c r="D351" s="17" t="s">
        <v>24</v>
      </c>
      <c r="E351" s="17" t="s">
        <v>25</v>
      </c>
      <c r="F351" s="17" t="s">
        <v>14</v>
      </c>
      <c r="G351">
        <v>1</v>
      </c>
      <c r="H351">
        <v>850000</v>
      </c>
      <c r="I351">
        <v>620000</v>
      </c>
      <c r="J351">
        <v>0</v>
      </c>
      <c r="K351" s="17">
        <f>(Fact_Ventas_Detalle[[#This Row],[Cantidad]]*Fact_Ventas_Detalle[[#This Row],[Precio Unitario]])-Fact_Ventas_Detalle[[#This Row],[Descuento Linea]]</f>
        <v>850000</v>
      </c>
    </row>
    <row r="352" spans="1:11" x14ac:dyDescent="0.25">
      <c r="A352">
        <v>30</v>
      </c>
      <c r="B352" s="17" t="s">
        <v>125</v>
      </c>
      <c r="C352">
        <v>2</v>
      </c>
      <c r="D352" s="17" t="s">
        <v>31</v>
      </c>
      <c r="E352" s="17" t="s">
        <v>32</v>
      </c>
      <c r="F352" s="17" t="s">
        <v>33</v>
      </c>
      <c r="G352">
        <v>1</v>
      </c>
      <c r="H352">
        <v>25000</v>
      </c>
      <c r="I352">
        <v>11000</v>
      </c>
      <c r="J352">
        <v>0</v>
      </c>
      <c r="K352" s="17">
        <f>(Fact_Ventas_Detalle[[#This Row],[Cantidad]]*Fact_Ventas_Detalle[[#This Row],[Precio Unitario]])-Fact_Ventas_Detalle[[#This Row],[Descuento Linea]]</f>
        <v>25000</v>
      </c>
    </row>
    <row r="353" spans="1:11" x14ac:dyDescent="0.25">
      <c r="A353">
        <v>30</v>
      </c>
      <c r="B353" s="17" t="s">
        <v>124</v>
      </c>
      <c r="C353">
        <v>2</v>
      </c>
      <c r="D353" s="17" t="s">
        <v>31</v>
      </c>
      <c r="E353" s="17" t="s">
        <v>32</v>
      </c>
      <c r="F353" s="17" t="s">
        <v>33</v>
      </c>
      <c r="G353">
        <v>3</v>
      </c>
      <c r="H353">
        <v>25000</v>
      </c>
      <c r="I353">
        <v>11000</v>
      </c>
      <c r="J353">
        <v>0</v>
      </c>
      <c r="K353" s="17">
        <f>(Fact_Ventas_Detalle[[#This Row],[Cantidad]]*Fact_Ventas_Detalle[[#This Row],[Precio Unitario]])-Fact_Ventas_Detalle[[#This Row],[Descuento Linea]]</f>
        <v>75000</v>
      </c>
    </row>
    <row r="354" spans="1:11" x14ac:dyDescent="0.25">
      <c r="A354">
        <v>30</v>
      </c>
      <c r="B354" s="17" t="s">
        <v>577</v>
      </c>
      <c r="C354">
        <v>4</v>
      </c>
      <c r="D354" s="17" t="s">
        <v>31</v>
      </c>
      <c r="E354" s="17" t="s">
        <v>32</v>
      </c>
      <c r="F354" s="17" t="s">
        <v>33</v>
      </c>
      <c r="G354">
        <v>1</v>
      </c>
      <c r="H354">
        <v>25000</v>
      </c>
      <c r="I354">
        <v>11000</v>
      </c>
      <c r="J354">
        <v>0</v>
      </c>
      <c r="K354" s="17">
        <f>(Fact_Ventas_Detalle[[#This Row],[Cantidad]]*Fact_Ventas_Detalle[[#This Row],[Precio Unitario]])-Fact_Ventas_Detalle[[#This Row],[Descuento Linea]]</f>
        <v>25000</v>
      </c>
    </row>
    <row r="355" spans="1:11" x14ac:dyDescent="0.25">
      <c r="A355">
        <v>30</v>
      </c>
      <c r="B355" s="17" t="s">
        <v>446</v>
      </c>
      <c r="C355">
        <v>4</v>
      </c>
      <c r="D355" s="17" t="s">
        <v>42</v>
      </c>
      <c r="E355" s="17" t="s">
        <v>43</v>
      </c>
      <c r="F355" s="17" t="s">
        <v>29</v>
      </c>
      <c r="G355">
        <v>3</v>
      </c>
      <c r="H355">
        <v>185000</v>
      </c>
      <c r="I355">
        <v>115000</v>
      </c>
      <c r="J355">
        <v>27750</v>
      </c>
      <c r="K355" s="17">
        <f>(Fact_Ventas_Detalle[[#This Row],[Cantidad]]*Fact_Ventas_Detalle[[#This Row],[Precio Unitario]])-Fact_Ventas_Detalle[[#This Row],[Descuento Linea]]</f>
        <v>527250</v>
      </c>
    </row>
    <row r="356" spans="1:11" x14ac:dyDescent="0.25">
      <c r="A356">
        <v>30</v>
      </c>
      <c r="B356" s="17" t="s">
        <v>122</v>
      </c>
      <c r="C356">
        <v>3</v>
      </c>
      <c r="D356" s="17" t="s">
        <v>12</v>
      </c>
      <c r="E356" s="17" t="s">
        <v>13</v>
      </c>
      <c r="F356" s="17" t="s">
        <v>14</v>
      </c>
      <c r="G356">
        <v>3</v>
      </c>
      <c r="H356">
        <v>280000</v>
      </c>
      <c r="I356">
        <v>190000</v>
      </c>
      <c r="J356">
        <v>84000</v>
      </c>
      <c r="K356" s="17">
        <f>(Fact_Ventas_Detalle[[#This Row],[Cantidad]]*Fact_Ventas_Detalle[[#This Row],[Precio Unitario]])-Fact_Ventas_Detalle[[#This Row],[Descuento Linea]]</f>
        <v>756000</v>
      </c>
    </row>
    <row r="357" spans="1:11" x14ac:dyDescent="0.25">
      <c r="A357">
        <v>30</v>
      </c>
      <c r="B357" s="17" t="s">
        <v>123</v>
      </c>
      <c r="C357">
        <v>3</v>
      </c>
      <c r="D357" s="17" t="s">
        <v>27</v>
      </c>
      <c r="E357" s="17" t="s">
        <v>28</v>
      </c>
      <c r="F357" s="17" t="s">
        <v>29</v>
      </c>
      <c r="G357">
        <v>1</v>
      </c>
      <c r="H357">
        <v>240000</v>
      </c>
      <c r="I357">
        <v>150000</v>
      </c>
      <c r="J357">
        <v>24000</v>
      </c>
      <c r="K357" s="17">
        <f>(Fact_Ventas_Detalle[[#This Row],[Cantidad]]*Fact_Ventas_Detalle[[#This Row],[Precio Unitario]])-Fact_Ventas_Detalle[[#This Row],[Descuento Linea]]</f>
        <v>216000</v>
      </c>
    </row>
    <row r="358" spans="1:11" x14ac:dyDescent="0.25">
      <c r="A358">
        <v>30</v>
      </c>
      <c r="B358" s="17" t="s">
        <v>686</v>
      </c>
      <c r="C358">
        <v>2</v>
      </c>
      <c r="D358" s="17" t="s">
        <v>24</v>
      </c>
      <c r="E358" s="17" t="s">
        <v>25</v>
      </c>
      <c r="F358" s="17" t="s">
        <v>14</v>
      </c>
      <c r="G358">
        <v>2</v>
      </c>
      <c r="H358">
        <v>850000</v>
      </c>
      <c r="I358">
        <v>620000</v>
      </c>
      <c r="J358">
        <v>85000</v>
      </c>
      <c r="K358" s="17">
        <f>(Fact_Ventas_Detalle[[#This Row],[Cantidad]]*Fact_Ventas_Detalle[[#This Row],[Precio Unitario]])-Fact_Ventas_Detalle[[#This Row],[Descuento Linea]]</f>
        <v>1615000</v>
      </c>
    </row>
    <row r="359" spans="1:11" x14ac:dyDescent="0.25">
      <c r="A359">
        <v>30</v>
      </c>
      <c r="B359" s="17" t="s">
        <v>424</v>
      </c>
      <c r="C359">
        <v>1</v>
      </c>
      <c r="D359" s="17" t="s">
        <v>12</v>
      </c>
      <c r="E359" s="17" t="s">
        <v>13</v>
      </c>
      <c r="F359" s="17" t="s">
        <v>14</v>
      </c>
      <c r="G359">
        <v>2</v>
      </c>
      <c r="H359">
        <v>280000</v>
      </c>
      <c r="I359">
        <v>190000</v>
      </c>
      <c r="J359">
        <v>28000</v>
      </c>
      <c r="K359" s="17">
        <f>(Fact_Ventas_Detalle[[#This Row],[Cantidad]]*Fact_Ventas_Detalle[[#This Row],[Precio Unitario]])-Fact_Ventas_Detalle[[#This Row],[Descuento Linea]]</f>
        <v>532000</v>
      </c>
    </row>
    <row r="360" spans="1:11" x14ac:dyDescent="0.25">
      <c r="A360">
        <v>30</v>
      </c>
      <c r="B360" s="17" t="s">
        <v>129</v>
      </c>
      <c r="C360">
        <v>1</v>
      </c>
      <c r="D360" s="17" t="s">
        <v>39</v>
      </c>
      <c r="E360" s="17" t="s">
        <v>40</v>
      </c>
      <c r="F360" s="17" t="s">
        <v>14</v>
      </c>
      <c r="G360">
        <v>3</v>
      </c>
      <c r="H360">
        <v>75000</v>
      </c>
      <c r="I360">
        <v>42000</v>
      </c>
      <c r="J360">
        <v>11250</v>
      </c>
      <c r="K360" s="17">
        <f>(Fact_Ventas_Detalle[[#This Row],[Cantidad]]*Fact_Ventas_Detalle[[#This Row],[Precio Unitario]])-Fact_Ventas_Detalle[[#This Row],[Descuento Linea]]</f>
        <v>213750</v>
      </c>
    </row>
    <row r="361" spans="1:11" x14ac:dyDescent="0.25">
      <c r="A361">
        <v>30</v>
      </c>
      <c r="B361" s="17" t="s">
        <v>130</v>
      </c>
      <c r="C361">
        <v>1</v>
      </c>
      <c r="D361" s="17" t="s">
        <v>31</v>
      </c>
      <c r="E361" s="17" t="s">
        <v>32</v>
      </c>
      <c r="F361" s="17" t="s">
        <v>33</v>
      </c>
      <c r="G361">
        <v>1</v>
      </c>
      <c r="H361">
        <v>25000</v>
      </c>
      <c r="I361">
        <v>11000</v>
      </c>
      <c r="J361">
        <v>2500</v>
      </c>
      <c r="K361" s="17">
        <f>(Fact_Ventas_Detalle[[#This Row],[Cantidad]]*Fact_Ventas_Detalle[[#This Row],[Precio Unitario]])-Fact_Ventas_Detalle[[#This Row],[Descuento Linea]]</f>
        <v>22500</v>
      </c>
    </row>
    <row r="362" spans="1:11" x14ac:dyDescent="0.25">
      <c r="A362">
        <v>31</v>
      </c>
      <c r="B362" s="17" t="s">
        <v>131</v>
      </c>
      <c r="C362">
        <v>1</v>
      </c>
      <c r="D362" s="17" t="s">
        <v>37</v>
      </c>
      <c r="E362" s="17" t="s">
        <v>38</v>
      </c>
      <c r="F362" s="17" t="s">
        <v>33</v>
      </c>
      <c r="G362">
        <v>2</v>
      </c>
      <c r="H362">
        <v>45000</v>
      </c>
      <c r="I362">
        <v>22000</v>
      </c>
      <c r="J362">
        <v>0</v>
      </c>
      <c r="K362" s="17">
        <f>(Fact_Ventas_Detalle[[#This Row],[Cantidad]]*Fact_Ventas_Detalle[[#This Row],[Precio Unitario]])-Fact_Ventas_Detalle[[#This Row],[Descuento Linea]]</f>
        <v>90000</v>
      </c>
    </row>
    <row r="363" spans="1:11" x14ac:dyDescent="0.25">
      <c r="A363">
        <v>31</v>
      </c>
      <c r="B363" s="17" t="s">
        <v>426</v>
      </c>
      <c r="C363">
        <v>1</v>
      </c>
      <c r="D363" s="17" t="s">
        <v>27</v>
      </c>
      <c r="E363" s="17" t="s">
        <v>28</v>
      </c>
      <c r="F363" s="17" t="s">
        <v>29</v>
      </c>
      <c r="G363">
        <v>1</v>
      </c>
      <c r="H363">
        <v>240000</v>
      </c>
      <c r="I363">
        <v>150000</v>
      </c>
      <c r="J363">
        <v>0</v>
      </c>
      <c r="K363" s="17">
        <f>(Fact_Ventas_Detalle[[#This Row],[Cantidad]]*Fact_Ventas_Detalle[[#This Row],[Precio Unitario]])-Fact_Ventas_Detalle[[#This Row],[Descuento Linea]]</f>
        <v>240000</v>
      </c>
    </row>
    <row r="364" spans="1:11" x14ac:dyDescent="0.25">
      <c r="A364">
        <v>31</v>
      </c>
      <c r="B364" s="17" t="s">
        <v>129</v>
      </c>
      <c r="C364">
        <v>2</v>
      </c>
      <c r="D364" s="17" t="s">
        <v>31</v>
      </c>
      <c r="E364" s="17" t="s">
        <v>32</v>
      </c>
      <c r="F364" s="17" t="s">
        <v>33</v>
      </c>
      <c r="G364">
        <v>2</v>
      </c>
      <c r="H364">
        <v>25000</v>
      </c>
      <c r="I364">
        <v>11000</v>
      </c>
      <c r="J364">
        <v>0</v>
      </c>
      <c r="K364" s="17">
        <f>(Fact_Ventas_Detalle[[#This Row],[Cantidad]]*Fact_Ventas_Detalle[[#This Row],[Precio Unitario]])-Fact_Ventas_Detalle[[#This Row],[Descuento Linea]]</f>
        <v>50000</v>
      </c>
    </row>
    <row r="365" spans="1:11" x14ac:dyDescent="0.25">
      <c r="A365">
        <v>31</v>
      </c>
      <c r="B365" s="17" t="s">
        <v>128</v>
      </c>
      <c r="C365">
        <v>2</v>
      </c>
      <c r="D365" s="17" t="s">
        <v>24</v>
      </c>
      <c r="E365" s="17" t="s">
        <v>25</v>
      </c>
      <c r="F365" s="17" t="s">
        <v>14</v>
      </c>
      <c r="G365">
        <v>1</v>
      </c>
      <c r="H365">
        <v>850000</v>
      </c>
      <c r="I365">
        <v>620000</v>
      </c>
      <c r="J365">
        <v>0</v>
      </c>
      <c r="K365" s="17">
        <f>(Fact_Ventas_Detalle[[#This Row],[Cantidad]]*Fact_Ventas_Detalle[[#This Row],[Precio Unitario]])-Fact_Ventas_Detalle[[#This Row],[Descuento Linea]]</f>
        <v>850000</v>
      </c>
    </row>
    <row r="366" spans="1:11" x14ac:dyDescent="0.25">
      <c r="A366">
        <v>31</v>
      </c>
      <c r="B366" s="17" t="s">
        <v>122</v>
      </c>
      <c r="C366">
        <v>4</v>
      </c>
      <c r="D366" s="17" t="s">
        <v>37</v>
      </c>
      <c r="E366" s="17" t="s">
        <v>38</v>
      </c>
      <c r="F366" s="17" t="s">
        <v>33</v>
      </c>
      <c r="G366">
        <v>2</v>
      </c>
      <c r="H366">
        <v>45000</v>
      </c>
      <c r="I366">
        <v>22000</v>
      </c>
      <c r="J366">
        <v>0</v>
      </c>
      <c r="K366" s="17">
        <f>(Fact_Ventas_Detalle[[#This Row],[Cantidad]]*Fact_Ventas_Detalle[[#This Row],[Precio Unitario]])-Fact_Ventas_Detalle[[#This Row],[Descuento Linea]]</f>
        <v>90000</v>
      </c>
    </row>
    <row r="367" spans="1:11" x14ac:dyDescent="0.25">
      <c r="A367">
        <v>31</v>
      </c>
      <c r="B367" s="17" t="s">
        <v>125</v>
      </c>
      <c r="C367">
        <v>3</v>
      </c>
      <c r="D367" s="17" t="s">
        <v>27</v>
      </c>
      <c r="E367" s="17" t="s">
        <v>28</v>
      </c>
      <c r="F367" s="17" t="s">
        <v>29</v>
      </c>
      <c r="G367">
        <v>2</v>
      </c>
      <c r="H367">
        <v>240000</v>
      </c>
      <c r="I367">
        <v>150000</v>
      </c>
      <c r="J367">
        <v>48000</v>
      </c>
      <c r="K367" s="17">
        <f>(Fact_Ventas_Detalle[[#This Row],[Cantidad]]*Fact_Ventas_Detalle[[#This Row],[Precio Unitario]])-Fact_Ventas_Detalle[[#This Row],[Descuento Linea]]</f>
        <v>432000</v>
      </c>
    </row>
    <row r="368" spans="1:11" x14ac:dyDescent="0.25">
      <c r="A368">
        <v>31</v>
      </c>
      <c r="B368" s="17" t="s">
        <v>124</v>
      </c>
      <c r="C368">
        <v>3</v>
      </c>
      <c r="D368" s="17" t="s">
        <v>27</v>
      </c>
      <c r="E368" s="17" t="s">
        <v>28</v>
      </c>
      <c r="F368" s="17" t="s">
        <v>29</v>
      </c>
      <c r="G368">
        <v>2</v>
      </c>
      <c r="H368">
        <v>240000</v>
      </c>
      <c r="I368">
        <v>150000</v>
      </c>
      <c r="J368">
        <v>24000</v>
      </c>
      <c r="K368" s="17">
        <f>(Fact_Ventas_Detalle[[#This Row],[Cantidad]]*Fact_Ventas_Detalle[[#This Row],[Precio Unitario]])-Fact_Ventas_Detalle[[#This Row],[Descuento Linea]]</f>
        <v>456000</v>
      </c>
    </row>
    <row r="369" spans="1:11" x14ac:dyDescent="0.25">
      <c r="A369">
        <v>31</v>
      </c>
      <c r="B369" s="17" t="s">
        <v>127</v>
      </c>
      <c r="C369">
        <v>2</v>
      </c>
      <c r="D369" s="17" t="s">
        <v>31</v>
      </c>
      <c r="E369" s="17" t="s">
        <v>32</v>
      </c>
      <c r="F369" s="17" t="s">
        <v>33</v>
      </c>
      <c r="G369">
        <v>3</v>
      </c>
      <c r="H369">
        <v>25000</v>
      </c>
      <c r="I369">
        <v>11000</v>
      </c>
      <c r="J369">
        <v>3750</v>
      </c>
      <c r="K369" s="17">
        <f>(Fact_Ventas_Detalle[[#This Row],[Cantidad]]*Fact_Ventas_Detalle[[#This Row],[Precio Unitario]])-Fact_Ventas_Detalle[[#This Row],[Descuento Linea]]</f>
        <v>71250</v>
      </c>
    </row>
    <row r="370" spans="1:11" x14ac:dyDescent="0.25">
      <c r="A370">
        <v>31</v>
      </c>
      <c r="B370" s="17" t="s">
        <v>130</v>
      </c>
      <c r="C370">
        <v>2</v>
      </c>
      <c r="D370" s="17" t="s">
        <v>39</v>
      </c>
      <c r="E370" s="17" t="s">
        <v>40</v>
      </c>
      <c r="F370" s="17" t="s">
        <v>14</v>
      </c>
      <c r="G370">
        <v>3</v>
      </c>
      <c r="H370">
        <v>75000</v>
      </c>
      <c r="I370">
        <v>42000</v>
      </c>
      <c r="J370">
        <v>22500</v>
      </c>
      <c r="K370" s="17">
        <f>(Fact_Ventas_Detalle[[#This Row],[Cantidad]]*Fact_Ventas_Detalle[[#This Row],[Precio Unitario]])-Fact_Ventas_Detalle[[#This Row],[Descuento Linea]]</f>
        <v>202500</v>
      </c>
    </row>
    <row r="371" spans="1:11" x14ac:dyDescent="0.25">
      <c r="A371">
        <v>31</v>
      </c>
      <c r="B371" s="17" t="s">
        <v>410</v>
      </c>
      <c r="C371">
        <v>1</v>
      </c>
      <c r="D371" s="17" t="s">
        <v>17</v>
      </c>
      <c r="E371" s="17" t="s">
        <v>18</v>
      </c>
      <c r="F371" s="17" t="s">
        <v>19</v>
      </c>
      <c r="G371">
        <v>3</v>
      </c>
      <c r="H371">
        <v>65000</v>
      </c>
      <c r="I371">
        <v>35000</v>
      </c>
      <c r="J371">
        <v>19500</v>
      </c>
      <c r="K371" s="17">
        <f>(Fact_Ventas_Detalle[[#This Row],[Cantidad]]*Fact_Ventas_Detalle[[#This Row],[Precio Unitario]])-Fact_Ventas_Detalle[[#This Row],[Descuento Linea]]</f>
        <v>175500</v>
      </c>
    </row>
    <row r="372" spans="1:11" x14ac:dyDescent="0.25">
      <c r="A372">
        <v>31</v>
      </c>
      <c r="B372" s="17" t="s">
        <v>553</v>
      </c>
      <c r="C372">
        <v>1</v>
      </c>
      <c r="D372" s="17" t="s">
        <v>37</v>
      </c>
      <c r="E372" s="17" t="s">
        <v>38</v>
      </c>
      <c r="F372" s="17" t="s">
        <v>33</v>
      </c>
      <c r="G372">
        <v>1</v>
      </c>
      <c r="H372">
        <v>45000</v>
      </c>
      <c r="I372">
        <v>22000</v>
      </c>
      <c r="J372">
        <v>2250</v>
      </c>
      <c r="K372" s="17">
        <f>(Fact_Ventas_Detalle[[#This Row],[Cantidad]]*Fact_Ventas_Detalle[[#This Row],[Precio Unitario]])-Fact_Ventas_Detalle[[#This Row],[Descuento Linea]]</f>
        <v>42750</v>
      </c>
    </row>
    <row r="373" spans="1:11" x14ac:dyDescent="0.25">
      <c r="A373">
        <v>31</v>
      </c>
      <c r="B373" s="17" t="s">
        <v>630</v>
      </c>
      <c r="C373">
        <v>1</v>
      </c>
      <c r="D373" s="17" t="s">
        <v>24</v>
      </c>
      <c r="E373" s="17" t="s">
        <v>25</v>
      </c>
      <c r="F373" s="17" t="s">
        <v>14</v>
      </c>
      <c r="G373">
        <v>1</v>
      </c>
      <c r="H373">
        <v>850000</v>
      </c>
      <c r="I373">
        <v>620000</v>
      </c>
      <c r="J373">
        <v>42500</v>
      </c>
      <c r="K373" s="17">
        <f>(Fact_Ventas_Detalle[[#This Row],[Cantidad]]*Fact_Ventas_Detalle[[#This Row],[Precio Unitario]])-Fact_Ventas_Detalle[[#This Row],[Descuento Linea]]</f>
        <v>807500</v>
      </c>
    </row>
    <row r="374" spans="1:11" x14ac:dyDescent="0.25">
      <c r="A374">
        <v>32</v>
      </c>
      <c r="B374" s="17" t="s">
        <v>132</v>
      </c>
      <c r="C374">
        <v>1</v>
      </c>
      <c r="D374" s="17" t="s">
        <v>27</v>
      </c>
      <c r="E374" s="17" t="s">
        <v>28</v>
      </c>
      <c r="F374" s="17" t="s">
        <v>29</v>
      </c>
      <c r="G374">
        <v>2</v>
      </c>
      <c r="H374">
        <v>240000</v>
      </c>
      <c r="I374">
        <v>150000</v>
      </c>
      <c r="J374">
        <v>0</v>
      </c>
      <c r="K374" s="17">
        <f>(Fact_Ventas_Detalle[[#This Row],[Cantidad]]*Fact_Ventas_Detalle[[#This Row],[Precio Unitario]])-Fact_Ventas_Detalle[[#This Row],[Descuento Linea]]</f>
        <v>480000</v>
      </c>
    </row>
    <row r="375" spans="1:11" x14ac:dyDescent="0.25">
      <c r="A375">
        <v>32</v>
      </c>
      <c r="B375" s="17" t="s">
        <v>131</v>
      </c>
      <c r="C375">
        <v>2</v>
      </c>
      <c r="D375" s="17" t="s">
        <v>17</v>
      </c>
      <c r="E375" s="17" t="s">
        <v>18</v>
      </c>
      <c r="F375" s="17" t="s">
        <v>19</v>
      </c>
      <c r="G375">
        <v>1</v>
      </c>
      <c r="H375">
        <v>65000</v>
      </c>
      <c r="I375">
        <v>35000</v>
      </c>
      <c r="J375">
        <v>0</v>
      </c>
      <c r="K375" s="17">
        <f>(Fact_Ventas_Detalle[[#This Row],[Cantidad]]*Fact_Ventas_Detalle[[#This Row],[Precio Unitario]])-Fact_Ventas_Detalle[[#This Row],[Descuento Linea]]</f>
        <v>65000</v>
      </c>
    </row>
    <row r="376" spans="1:11" x14ac:dyDescent="0.25">
      <c r="A376">
        <v>32</v>
      </c>
      <c r="B376" s="17" t="s">
        <v>410</v>
      </c>
      <c r="C376">
        <v>2</v>
      </c>
      <c r="D376" s="17" t="s">
        <v>17</v>
      </c>
      <c r="E376" s="17" t="s">
        <v>18</v>
      </c>
      <c r="F376" s="17" t="s">
        <v>19</v>
      </c>
      <c r="G376">
        <v>2</v>
      </c>
      <c r="H376">
        <v>65000</v>
      </c>
      <c r="I376">
        <v>35000</v>
      </c>
      <c r="J376">
        <v>0</v>
      </c>
      <c r="K376" s="17">
        <f>(Fact_Ventas_Detalle[[#This Row],[Cantidad]]*Fact_Ventas_Detalle[[#This Row],[Precio Unitario]])-Fact_Ventas_Detalle[[#This Row],[Descuento Linea]]</f>
        <v>130000</v>
      </c>
    </row>
    <row r="377" spans="1:11" x14ac:dyDescent="0.25">
      <c r="A377">
        <v>32</v>
      </c>
      <c r="B377" s="17" t="s">
        <v>426</v>
      </c>
      <c r="C377">
        <v>2</v>
      </c>
      <c r="D377" s="17" t="s">
        <v>39</v>
      </c>
      <c r="E377" s="17" t="s">
        <v>40</v>
      </c>
      <c r="F377" s="17" t="s">
        <v>14</v>
      </c>
      <c r="G377">
        <v>1</v>
      </c>
      <c r="H377">
        <v>75000</v>
      </c>
      <c r="I377">
        <v>42000</v>
      </c>
      <c r="J377">
        <v>0</v>
      </c>
      <c r="K377" s="17">
        <f>(Fact_Ventas_Detalle[[#This Row],[Cantidad]]*Fact_Ventas_Detalle[[#This Row],[Precio Unitario]])-Fact_Ventas_Detalle[[#This Row],[Descuento Linea]]</f>
        <v>75000</v>
      </c>
    </row>
    <row r="378" spans="1:11" x14ac:dyDescent="0.25">
      <c r="A378">
        <v>32</v>
      </c>
      <c r="B378" s="17" t="s">
        <v>127</v>
      </c>
      <c r="C378">
        <v>3</v>
      </c>
      <c r="D378" s="17" t="s">
        <v>42</v>
      </c>
      <c r="E378" s="17" t="s">
        <v>43</v>
      </c>
      <c r="F378" s="17" t="s">
        <v>29</v>
      </c>
      <c r="G378">
        <v>2</v>
      </c>
      <c r="H378">
        <v>185000</v>
      </c>
      <c r="I378">
        <v>115000</v>
      </c>
      <c r="J378">
        <v>0</v>
      </c>
      <c r="K378" s="17">
        <f>(Fact_Ventas_Detalle[[#This Row],[Cantidad]]*Fact_Ventas_Detalle[[#This Row],[Precio Unitario]])-Fact_Ventas_Detalle[[#This Row],[Descuento Linea]]</f>
        <v>370000</v>
      </c>
    </row>
    <row r="379" spans="1:11" x14ac:dyDescent="0.25">
      <c r="A379">
        <v>32</v>
      </c>
      <c r="B379" s="17" t="s">
        <v>129</v>
      </c>
      <c r="C379">
        <v>3</v>
      </c>
      <c r="D379" s="17" t="s">
        <v>27</v>
      </c>
      <c r="E379" s="17" t="s">
        <v>28</v>
      </c>
      <c r="F379" s="17" t="s">
        <v>29</v>
      </c>
      <c r="G379">
        <v>3</v>
      </c>
      <c r="H379">
        <v>240000</v>
      </c>
      <c r="I379">
        <v>150000</v>
      </c>
      <c r="J379">
        <v>0</v>
      </c>
      <c r="K379" s="17">
        <f>(Fact_Ventas_Detalle[[#This Row],[Cantidad]]*Fact_Ventas_Detalle[[#This Row],[Precio Unitario]])-Fact_Ventas_Detalle[[#This Row],[Descuento Linea]]</f>
        <v>720000</v>
      </c>
    </row>
    <row r="380" spans="1:11" x14ac:dyDescent="0.25">
      <c r="A380">
        <v>32</v>
      </c>
      <c r="B380" s="17" t="s">
        <v>130</v>
      </c>
      <c r="C380">
        <v>3</v>
      </c>
      <c r="D380" s="17" t="s">
        <v>42</v>
      </c>
      <c r="E380" s="17" t="s">
        <v>43</v>
      </c>
      <c r="F380" s="17" t="s">
        <v>29</v>
      </c>
      <c r="G380">
        <v>3</v>
      </c>
      <c r="H380">
        <v>185000</v>
      </c>
      <c r="I380">
        <v>115000</v>
      </c>
      <c r="J380">
        <v>0</v>
      </c>
      <c r="K380" s="17">
        <f>(Fact_Ventas_Detalle[[#This Row],[Cantidad]]*Fact_Ventas_Detalle[[#This Row],[Precio Unitario]])-Fact_Ventas_Detalle[[#This Row],[Descuento Linea]]</f>
        <v>555000</v>
      </c>
    </row>
    <row r="381" spans="1:11" x14ac:dyDescent="0.25">
      <c r="A381">
        <v>32</v>
      </c>
      <c r="B381" s="17" t="s">
        <v>125</v>
      </c>
      <c r="C381">
        <v>4</v>
      </c>
      <c r="D381" s="17" t="s">
        <v>27</v>
      </c>
      <c r="E381" s="17" t="s">
        <v>28</v>
      </c>
      <c r="F381" s="17" t="s">
        <v>29</v>
      </c>
      <c r="G381">
        <v>2</v>
      </c>
      <c r="H381">
        <v>240000</v>
      </c>
      <c r="I381">
        <v>150000</v>
      </c>
      <c r="J381">
        <v>0</v>
      </c>
      <c r="K381" s="17">
        <f>(Fact_Ventas_Detalle[[#This Row],[Cantidad]]*Fact_Ventas_Detalle[[#This Row],[Precio Unitario]])-Fact_Ventas_Detalle[[#This Row],[Descuento Linea]]</f>
        <v>480000</v>
      </c>
    </row>
    <row r="382" spans="1:11" x14ac:dyDescent="0.25">
      <c r="A382">
        <v>32</v>
      </c>
      <c r="B382" s="17" t="s">
        <v>553</v>
      </c>
      <c r="C382">
        <v>2</v>
      </c>
      <c r="D382" s="17" t="s">
        <v>24</v>
      </c>
      <c r="E382" s="17" t="s">
        <v>25</v>
      </c>
      <c r="F382" s="17" t="s">
        <v>14</v>
      </c>
      <c r="G382">
        <v>3</v>
      </c>
      <c r="H382">
        <v>850000</v>
      </c>
      <c r="I382">
        <v>620000</v>
      </c>
      <c r="J382">
        <v>255000</v>
      </c>
      <c r="K382" s="17">
        <f>(Fact_Ventas_Detalle[[#This Row],[Cantidad]]*Fact_Ventas_Detalle[[#This Row],[Precio Unitario]])-Fact_Ventas_Detalle[[#This Row],[Descuento Linea]]</f>
        <v>2295000</v>
      </c>
    </row>
    <row r="383" spans="1:11" x14ac:dyDescent="0.25">
      <c r="A383">
        <v>32</v>
      </c>
      <c r="B383" s="17" t="s">
        <v>133</v>
      </c>
      <c r="C383">
        <v>1</v>
      </c>
      <c r="D383" s="17" t="s">
        <v>17</v>
      </c>
      <c r="E383" s="17" t="s">
        <v>18</v>
      </c>
      <c r="F383" s="17" t="s">
        <v>19</v>
      </c>
      <c r="G383">
        <v>2</v>
      </c>
      <c r="H383">
        <v>65000</v>
      </c>
      <c r="I383">
        <v>35000</v>
      </c>
      <c r="J383">
        <v>6500</v>
      </c>
      <c r="K383" s="17">
        <f>(Fact_Ventas_Detalle[[#This Row],[Cantidad]]*Fact_Ventas_Detalle[[#This Row],[Precio Unitario]])-Fact_Ventas_Detalle[[#This Row],[Descuento Linea]]</f>
        <v>123500</v>
      </c>
    </row>
    <row r="384" spans="1:11" x14ac:dyDescent="0.25">
      <c r="A384">
        <v>32</v>
      </c>
      <c r="B384" s="17" t="s">
        <v>134</v>
      </c>
      <c r="C384">
        <v>1</v>
      </c>
      <c r="D384" s="17" t="s">
        <v>42</v>
      </c>
      <c r="E384" s="17" t="s">
        <v>43</v>
      </c>
      <c r="F384" s="17" t="s">
        <v>29</v>
      </c>
      <c r="G384">
        <v>1</v>
      </c>
      <c r="H384">
        <v>185000</v>
      </c>
      <c r="I384">
        <v>115000</v>
      </c>
      <c r="J384">
        <v>9250</v>
      </c>
      <c r="K384" s="17">
        <f>(Fact_Ventas_Detalle[[#This Row],[Cantidad]]*Fact_Ventas_Detalle[[#This Row],[Precio Unitario]])-Fact_Ventas_Detalle[[#This Row],[Descuento Linea]]</f>
        <v>175750</v>
      </c>
    </row>
    <row r="385" spans="1:11" x14ac:dyDescent="0.25">
      <c r="A385">
        <v>32</v>
      </c>
      <c r="B385" s="17" t="s">
        <v>829</v>
      </c>
      <c r="C385">
        <v>1</v>
      </c>
      <c r="D385" s="17" t="s">
        <v>37</v>
      </c>
      <c r="E385" s="17" t="s">
        <v>38</v>
      </c>
      <c r="F385" s="17" t="s">
        <v>33</v>
      </c>
      <c r="G385">
        <v>1</v>
      </c>
      <c r="H385">
        <v>45000</v>
      </c>
      <c r="I385">
        <v>22000</v>
      </c>
      <c r="J385">
        <v>2250</v>
      </c>
      <c r="K385" s="17">
        <f>(Fact_Ventas_Detalle[[#This Row],[Cantidad]]*Fact_Ventas_Detalle[[#This Row],[Precio Unitario]])-Fact_Ventas_Detalle[[#This Row],[Descuento Linea]]</f>
        <v>42750</v>
      </c>
    </row>
    <row r="386" spans="1:11" x14ac:dyDescent="0.25">
      <c r="A386">
        <v>33</v>
      </c>
      <c r="B386" s="17" t="s">
        <v>133</v>
      </c>
      <c r="C386">
        <v>2</v>
      </c>
      <c r="D386" s="17" t="s">
        <v>12</v>
      </c>
      <c r="E386" s="17" t="s">
        <v>13</v>
      </c>
      <c r="F386" s="17" t="s">
        <v>14</v>
      </c>
      <c r="G386">
        <v>2</v>
      </c>
      <c r="H386">
        <v>280000</v>
      </c>
      <c r="I386">
        <v>190000</v>
      </c>
      <c r="J386">
        <v>0</v>
      </c>
      <c r="K386" s="17">
        <f>(Fact_Ventas_Detalle[[#This Row],[Cantidad]]*Fact_Ventas_Detalle[[#This Row],[Precio Unitario]])-Fact_Ventas_Detalle[[#This Row],[Descuento Linea]]</f>
        <v>560000</v>
      </c>
    </row>
    <row r="387" spans="1:11" x14ac:dyDescent="0.25">
      <c r="A387">
        <v>33</v>
      </c>
      <c r="B387" s="17" t="s">
        <v>829</v>
      </c>
      <c r="C387">
        <v>2</v>
      </c>
      <c r="D387" s="17" t="s">
        <v>17</v>
      </c>
      <c r="E387" s="17" t="s">
        <v>18</v>
      </c>
      <c r="F387" s="17" t="s">
        <v>19</v>
      </c>
      <c r="G387">
        <v>3</v>
      </c>
      <c r="H387">
        <v>65000</v>
      </c>
      <c r="I387">
        <v>35000</v>
      </c>
      <c r="J387">
        <v>0</v>
      </c>
      <c r="K387" s="17">
        <f>(Fact_Ventas_Detalle[[#This Row],[Cantidad]]*Fact_Ventas_Detalle[[#This Row],[Precio Unitario]])-Fact_Ventas_Detalle[[#This Row],[Descuento Linea]]</f>
        <v>195000</v>
      </c>
    </row>
    <row r="388" spans="1:11" x14ac:dyDescent="0.25">
      <c r="A388">
        <v>33</v>
      </c>
      <c r="B388" s="17" t="s">
        <v>553</v>
      </c>
      <c r="C388">
        <v>3</v>
      </c>
      <c r="D388" s="17" t="s">
        <v>39</v>
      </c>
      <c r="E388" s="17" t="s">
        <v>40</v>
      </c>
      <c r="F388" s="17" t="s">
        <v>14</v>
      </c>
      <c r="G388">
        <v>2</v>
      </c>
      <c r="H388">
        <v>75000</v>
      </c>
      <c r="I388">
        <v>42000</v>
      </c>
      <c r="J388">
        <v>0</v>
      </c>
      <c r="K388" s="17">
        <f>(Fact_Ventas_Detalle[[#This Row],[Cantidad]]*Fact_Ventas_Detalle[[#This Row],[Precio Unitario]])-Fact_Ventas_Detalle[[#This Row],[Descuento Linea]]</f>
        <v>150000</v>
      </c>
    </row>
    <row r="389" spans="1:11" x14ac:dyDescent="0.25">
      <c r="A389">
        <v>33</v>
      </c>
      <c r="B389" s="17" t="s">
        <v>129</v>
      </c>
      <c r="C389">
        <v>4</v>
      </c>
      <c r="D389" s="17" t="s">
        <v>12</v>
      </c>
      <c r="E389" s="17" t="s">
        <v>13</v>
      </c>
      <c r="F389" s="17" t="s">
        <v>14</v>
      </c>
      <c r="G389">
        <v>2</v>
      </c>
      <c r="H389">
        <v>280000</v>
      </c>
      <c r="I389">
        <v>190000</v>
      </c>
      <c r="J389">
        <v>0</v>
      </c>
      <c r="K389" s="17">
        <f>(Fact_Ventas_Detalle[[#This Row],[Cantidad]]*Fact_Ventas_Detalle[[#This Row],[Precio Unitario]])-Fact_Ventas_Detalle[[#This Row],[Descuento Linea]]</f>
        <v>560000</v>
      </c>
    </row>
    <row r="390" spans="1:11" x14ac:dyDescent="0.25">
      <c r="A390">
        <v>33</v>
      </c>
      <c r="B390" s="17" t="s">
        <v>127</v>
      </c>
      <c r="C390">
        <v>4</v>
      </c>
      <c r="D390" s="17" t="s">
        <v>37</v>
      </c>
      <c r="E390" s="17" t="s">
        <v>38</v>
      </c>
      <c r="F390" s="17" t="s">
        <v>33</v>
      </c>
      <c r="G390">
        <v>3</v>
      </c>
      <c r="H390">
        <v>45000</v>
      </c>
      <c r="I390">
        <v>22000</v>
      </c>
      <c r="J390">
        <v>13500</v>
      </c>
      <c r="K390" s="17">
        <f>(Fact_Ventas_Detalle[[#This Row],[Cantidad]]*Fact_Ventas_Detalle[[#This Row],[Precio Unitario]])-Fact_Ventas_Detalle[[#This Row],[Descuento Linea]]</f>
        <v>121500</v>
      </c>
    </row>
    <row r="391" spans="1:11" x14ac:dyDescent="0.25">
      <c r="A391">
        <v>33</v>
      </c>
      <c r="B391" s="17" t="s">
        <v>131</v>
      </c>
      <c r="C391">
        <v>3</v>
      </c>
      <c r="D391" s="17" t="s">
        <v>31</v>
      </c>
      <c r="E391" s="17" t="s">
        <v>32</v>
      </c>
      <c r="F391" s="17" t="s">
        <v>33</v>
      </c>
      <c r="G391">
        <v>1</v>
      </c>
      <c r="H391">
        <v>25000</v>
      </c>
      <c r="I391">
        <v>11000</v>
      </c>
      <c r="J391">
        <v>2500</v>
      </c>
      <c r="K391" s="17">
        <f>(Fact_Ventas_Detalle[[#This Row],[Cantidad]]*Fact_Ventas_Detalle[[#This Row],[Precio Unitario]])-Fact_Ventas_Detalle[[#This Row],[Descuento Linea]]</f>
        <v>22500</v>
      </c>
    </row>
    <row r="392" spans="1:11" x14ac:dyDescent="0.25">
      <c r="A392">
        <v>33</v>
      </c>
      <c r="B392" s="17" t="s">
        <v>132</v>
      </c>
      <c r="C392">
        <v>2</v>
      </c>
      <c r="D392" s="17" t="s">
        <v>42</v>
      </c>
      <c r="E392" s="17" t="s">
        <v>43</v>
      </c>
      <c r="F392" s="17" t="s">
        <v>29</v>
      </c>
      <c r="G392">
        <v>1</v>
      </c>
      <c r="H392">
        <v>185000</v>
      </c>
      <c r="I392">
        <v>115000</v>
      </c>
      <c r="J392">
        <v>18500</v>
      </c>
      <c r="K392" s="17">
        <f>(Fact_Ventas_Detalle[[#This Row],[Cantidad]]*Fact_Ventas_Detalle[[#This Row],[Precio Unitario]])-Fact_Ventas_Detalle[[#This Row],[Descuento Linea]]</f>
        <v>166500</v>
      </c>
    </row>
    <row r="393" spans="1:11" x14ac:dyDescent="0.25">
      <c r="A393">
        <v>33</v>
      </c>
      <c r="B393" s="17" t="s">
        <v>134</v>
      </c>
      <c r="C393">
        <v>2</v>
      </c>
      <c r="D393" s="17" t="s">
        <v>31</v>
      </c>
      <c r="E393" s="17" t="s">
        <v>32</v>
      </c>
      <c r="F393" s="17" t="s">
        <v>33</v>
      </c>
      <c r="G393">
        <v>2</v>
      </c>
      <c r="H393">
        <v>25000</v>
      </c>
      <c r="I393">
        <v>11000</v>
      </c>
      <c r="J393">
        <v>2500</v>
      </c>
      <c r="K393" s="17">
        <f>(Fact_Ventas_Detalle[[#This Row],[Cantidad]]*Fact_Ventas_Detalle[[#This Row],[Precio Unitario]])-Fact_Ventas_Detalle[[#This Row],[Descuento Linea]]</f>
        <v>47500</v>
      </c>
    </row>
    <row r="394" spans="1:11" x14ac:dyDescent="0.25">
      <c r="A394">
        <v>33</v>
      </c>
      <c r="B394" s="17" t="s">
        <v>136</v>
      </c>
      <c r="C394">
        <v>1</v>
      </c>
      <c r="D394" s="17" t="s">
        <v>42</v>
      </c>
      <c r="E394" s="17" t="s">
        <v>43</v>
      </c>
      <c r="F394" s="17" t="s">
        <v>29</v>
      </c>
      <c r="G394">
        <v>3</v>
      </c>
      <c r="H394">
        <v>185000</v>
      </c>
      <c r="I394">
        <v>115000</v>
      </c>
      <c r="J394">
        <v>55500</v>
      </c>
      <c r="K394" s="17">
        <f>(Fact_Ventas_Detalle[[#This Row],[Cantidad]]*Fact_Ventas_Detalle[[#This Row],[Precio Unitario]])-Fact_Ventas_Detalle[[#This Row],[Descuento Linea]]</f>
        <v>499500</v>
      </c>
    </row>
    <row r="395" spans="1:11" x14ac:dyDescent="0.25">
      <c r="A395">
        <v>33</v>
      </c>
      <c r="B395" s="17" t="s">
        <v>527</v>
      </c>
      <c r="C395">
        <v>1</v>
      </c>
      <c r="D395" s="17" t="s">
        <v>42</v>
      </c>
      <c r="E395" s="17" t="s">
        <v>43</v>
      </c>
      <c r="F395" s="17" t="s">
        <v>29</v>
      </c>
      <c r="G395">
        <v>3</v>
      </c>
      <c r="H395">
        <v>185000</v>
      </c>
      <c r="I395">
        <v>115000</v>
      </c>
      <c r="J395">
        <v>27750</v>
      </c>
      <c r="K395" s="17">
        <f>(Fact_Ventas_Detalle[[#This Row],[Cantidad]]*Fact_Ventas_Detalle[[#This Row],[Precio Unitario]])-Fact_Ventas_Detalle[[#This Row],[Descuento Linea]]</f>
        <v>527250</v>
      </c>
    </row>
    <row r="396" spans="1:11" x14ac:dyDescent="0.25">
      <c r="A396">
        <v>33</v>
      </c>
      <c r="B396" s="17" t="s">
        <v>135</v>
      </c>
      <c r="C396">
        <v>1</v>
      </c>
      <c r="D396" s="17" t="s">
        <v>39</v>
      </c>
      <c r="E396" s="17" t="s">
        <v>40</v>
      </c>
      <c r="F396" s="17" t="s">
        <v>14</v>
      </c>
      <c r="G396">
        <v>1</v>
      </c>
      <c r="H396">
        <v>75000</v>
      </c>
      <c r="I396">
        <v>42000</v>
      </c>
      <c r="J396">
        <v>7500</v>
      </c>
      <c r="K396" s="17">
        <f>(Fact_Ventas_Detalle[[#This Row],[Cantidad]]*Fact_Ventas_Detalle[[#This Row],[Precio Unitario]])-Fact_Ventas_Detalle[[#This Row],[Descuento Linea]]</f>
        <v>67500</v>
      </c>
    </row>
    <row r="397" spans="1:11" x14ac:dyDescent="0.25">
      <c r="A397">
        <v>33</v>
      </c>
      <c r="B397" s="17" t="s">
        <v>541</v>
      </c>
      <c r="C397">
        <v>1</v>
      </c>
      <c r="D397" s="17" t="s">
        <v>24</v>
      </c>
      <c r="E397" s="17" t="s">
        <v>25</v>
      </c>
      <c r="F397" s="17" t="s">
        <v>14</v>
      </c>
      <c r="G397">
        <v>1</v>
      </c>
      <c r="H397">
        <v>850000</v>
      </c>
      <c r="I397">
        <v>620000</v>
      </c>
      <c r="J397">
        <v>85000</v>
      </c>
      <c r="K397" s="17">
        <f>(Fact_Ventas_Detalle[[#This Row],[Cantidad]]*Fact_Ventas_Detalle[[#This Row],[Precio Unitario]])-Fact_Ventas_Detalle[[#This Row],[Descuento Linea]]</f>
        <v>765000</v>
      </c>
    </row>
    <row r="398" spans="1:11" x14ac:dyDescent="0.25">
      <c r="A398">
        <v>34</v>
      </c>
      <c r="B398" s="17" t="s">
        <v>137</v>
      </c>
      <c r="C398">
        <v>1</v>
      </c>
      <c r="D398" s="17" t="s">
        <v>12</v>
      </c>
      <c r="E398" s="17" t="s">
        <v>13</v>
      </c>
      <c r="F398" s="17" t="s">
        <v>14</v>
      </c>
      <c r="G398">
        <v>1</v>
      </c>
      <c r="H398">
        <v>280000</v>
      </c>
      <c r="I398">
        <v>190000</v>
      </c>
      <c r="J398">
        <v>0</v>
      </c>
      <c r="K398" s="17">
        <f>(Fact_Ventas_Detalle[[#This Row],[Cantidad]]*Fact_Ventas_Detalle[[#This Row],[Precio Unitario]])-Fact_Ventas_Detalle[[#This Row],[Descuento Linea]]</f>
        <v>280000</v>
      </c>
    </row>
    <row r="399" spans="1:11" x14ac:dyDescent="0.25">
      <c r="A399">
        <v>34</v>
      </c>
      <c r="B399" s="17" t="s">
        <v>527</v>
      </c>
      <c r="C399">
        <v>2</v>
      </c>
      <c r="D399" s="17" t="s">
        <v>17</v>
      </c>
      <c r="E399" s="17" t="s">
        <v>18</v>
      </c>
      <c r="F399" s="17" t="s">
        <v>19</v>
      </c>
      <c r="G399">
        <v>1</v>
      </c>
      <c r="H399">
        <v>65000</v>
      </c>
      <c r="I399">
        <v>35000</v>
      </c>
      <c r="J399">
        <v>0</v>
      </c>
      <c r="K399" s="17">
        <f>(Fact_Ventas_Detalle[[#This Row],[Cantidad]]*Fact_Ventas_Detalle[[#This Row],[Precio Unitario]])-Fact_Ventas_Detalle[[#This Row],[Descuento Linea]]</f>
        <v>65000</v>
      </c>
    </row>
    <row r="400" spans="1:11" x14ac:dyDescent="0.25">
      <c r="A400">
        <v>34</v>
      </c>
      <c r="B400" s="17" t="s">
        <v>541</v>
      </c>
      <c r="C400">
        <v>2</v>
      </c>
      <c r="D400" s="17" t="s">
        <v>42</v>
      </c>
      <c r="E400" s="17" t="s">
        <v>43</v>
      </c>
      <c r="F400" s="17" t="s">
        <v>29</v>
      </c>
      <c r="G400">
        <v>2</v>
      </c>
      <c r="H400">
        <v>185000</v>
      </c>
      <c r="I400">
        <v>115000</v>
      </c>
      <c r="J400">
        <v>0</v>
      </c>
      <c r="K400" s="17">
        <f>(Fact_Ventas_Detalle[[#This Row],[Cantidad]]*Fact_Ventas_Detalle[[#This Row],[Precio Unitario]])-Fact_Ventas_Detalle[[#This Row],[Descuento Linea]]</f>
        <v>370000</v>
      </c>
    </row>
    <row r="401" spans="1:11" x14ac:dyDescent="0.25">
      <c r="A401">
        <v>34</v>
      </c>
      <c r="B401" s="17" t="s">
        <v>133</v>
      </c>
      <c r="C401">
        <v>3</v>
      </c>
      <c r="D401" s="17" t="s">
        <v>24</v>
      </c>
      <c r="E401" s="17" t="s">
        <v>25</v>
      </c>
      <c r="F401" s="17" t="s">
        <v>14</v>
      </c>
      <c r="G401">
        <v>2</v>
      </c>
      <c r="H401">
        <v>850000</v>
      </c>
      <c r="I401">
        <v>620000</v>
      </c>
      <c r="J401">
        <v>0</v>
      </c>
      <c r="K401" s="17">
        <f>(Fact_Ventas_Detalle[[#This Row],[Cantidad]]*Fact_Ventas_Detalle[[#This Row],[Precio Unitario]])-Fact_Ventas_Detalle[[#This Row],[Descuento Linea]]</f>
        <v>1700000</v>
      </c>
    </row>
    <row r="402" spans="1:11" x14ac:dyDescent="0.25">
      <c r="A402">
        <v>34</v>
      </c>
      <c r="B402" s="17" t="s">
        <v>134</v>
      </c>
      <c r="C402">
        <v>3</v>
      </c>
      <c r="D402" s="17" t="s">
        <v>24</v>
      </c>
      <c r="E402" s="17" t="s">
        <v>25</v>
      </c>
      <c r="F402" s="17" t="s">
        <v>14</v>
      </c>
      <c r="G402">
        <v>3</v>
      </c>
      <c r="H402">
        <v>850000</v>
      </c>
      <c r="I402">
        <v>620000</v>
      </c>
      <c r="J402">
        <v>0</v>
      </c>
      <c r="K402" s="17">
        <f>(Fact_Ventas_Detalle[[#This Row],[Cantidad]]*Fact_Ventas_Detalle[[#This Row],[Precio Unitario]])-Fact_Ventas_Detalle[[#This Row],[Descuento Linea]]</f>
        <v>2550000</v>
      </c>
    </row>
    <row r="403" spans="1:11" x14ac:dyDescent="0.25">
      <c r="A403">
        <v>34</v>
      </c>
      <c r="B403" s="17" t="s">
        <v>131</v>
      </c>
      <c r="C403">
        <v>4</v>
      </c>
      <c r="D403" s="17" t="s">
        <v>39</v>
      </c>
      <c r="E403" s="17" t="s">
        <v>40</v>
      </c>
      <c r="F403" s="17" t="s">
        <v>14</v>
      </c>
      <c r="G403">
        <v>2</v>
      </c>
      <c r="H403">
        <v>75000</v>
      </c>
      <c r="I403">
        <v>42000</v>
      </c>
      <c r="J403">
        <v>7500</v>
      </c>
      <c r="K403" s="17">
        <f>(Fact_Ventas_Detalle[[#This Row],[Cantidad]]*Fact_Ventas_Detalle[[#This Row],[Precio Unitario]])-Fact_Ventas_Detalle[[#This Row],[Descuento Linea]]</f>
        <v>142500</v>
      </c>
    </row>
    <row r="404" spans="1:11" x14ac:dyDescent="0.25">
      <c r="A404">
        <v>34</v>
      </c>
      <c r="B404" s="17" t="s">
        <v>132</v>
      </c>
      <c r="C404">
        <v>3</v>
      </c>
      <c r="D404" s="17" t="s">
        <v>39</v>
      </c>
      <c r="E404" s="17" t="s">
        <v>40</v>
      </c>
      <c r="F404" s="17" t="s">
        <v>14</v>
      </c>
      <c r="G404">
        <v>1</v>
      </c>
      <c r="H404">
        <v>75000</v>
      </c>
      <c r="I404">
        <v>42000</v>
      </c>
      <c r="J404">
        <v>3750</v>
      </c>
      <c r="K404" s="17">
        <f>(Fact_Ventas_Detalle[[#This Row],[Cantidad]]*Fact_Ventas_Detalle[[#This Row],[Precio Unitario]])-Fact_Ventas_Detalle[[#This Row],[Descuento Linea]]</f>
        <v>71250</v>
      </c>
    </row>
    <row r="405" spans="1:11" x14ac:dyDescent="0.25">
      <c r="A405">
        <v>34</v>
      </c>
      <c r="B405" s="17" t="s">
        <v>829</v>
      </c>
      <c r="C405">
        <v>3</v>
      </c>
      <c r="D405" s="17" t="s">
        <v>31</v>
      </c>
      <c r="E405" s="17" t="s">
        <v>32</v>
      </c>
      <c r="F405" s="17" t="s">
        <v>33</v>
      </c>
      <c r="G405">
        <v>3</v>
      </c>
      <c r="H405">
        <v>25000</v>
      </c>
      <c r="I405">
        <v>11000</v>
      </c>
      <c r="J405">
        <v>7500</v>
      </c>
      <c r="K405" s="17">
        <f>(Fact_Ventas_Detalle[[#This Row],[Cantidad]]*Fact_Ventas_Detalle[[#This Row],[Precio Unitario]])-Fact_Ventas_Detalle[[#This Row],[Descuento Linea]]</f>
        <v>67500</v>
      </c>
    </row>
    <row r="406" spans="1:11" x14ac:dyDescent="0.25">
      <c r="A406">
        <v>34</v>
      </c>
      <c r="B406" s="17" t="s">
        <v>135</v>
      </c>
      <c r="C406">
        <v>2</v>
      </c>
      <c r="D406" s="17" t="s">
        <v>37</v>
      </c>
      <c r="E406" s="17" t="s">
        <v>38</v>
      </c>
      <c r="F406" s="17" t="s">
        <v>33</v>
      </c>
      <c r="G406">
        <v>2</v>
      </c>
      <c r="H406">
        <v>45000</v>
      </c>
      <c r="I406">
        <v>22000</v>
      </c>
      <c r="J406">
        <v>9000</v>
      </c>
      <c r="K406" s="17">
        <f>(Fact_Ventas_Detalle[[#This Row],[Cantidad]]*Fact_Ventas_Detalle[[#This Row],[Precio Unitario]])-Fact_Ventas_Detalle[[#This Row],[Descuento Linea]]</f>
        <v>81000</v>
      </c>
    </row>
    <row r="407" spans="1:11" x14ac:dyDescent="0.25">
      <c r="A407">
        <v>34</v>
      </c>
      <c r="B407" s="17" t="s">
        <v>138</v>
      </c>
      <c r="C407">
        <v>1</v>
      </c>
      <c r="D407" s="17" t="s">
        <v>42</v>
      </c>
      <c r="E407" s="17" t="s">
        <v>43</v>
      </c>
      <c r="F407" s="17" t="s">
        <v>29</v>
      </c>
      <c r="G407">
        <v>2</v>
      </c>
      <c r="H407">
        <v>185000</v>
      </c>
      <c r="I407">
        <v>115000</v>
      </c>
      <c r="J407">
        <v>18500</v>
      </c>
      <c r="K407" s="17">
        <f>(Fact_Ventas_Detalle[[#This Row],[Cantidad]]*Fact_Ventas_Detalle[[#This Row],[Precio Unitario]])-Fact_Ventas_Detalle[[#This Row],[Descuento Linea]]</f>
        <v>351500</v>
      </c>
    </row>
    <row r="408" spans="1:11" x14ac:dyDescent="0.25">
      <c r="A408">
        <v>34</v>
      </c>
      <c r="B408" s="17" t="s">
        <v>139</v>
      </c>
      <c r="C408">
        <v>1</v>
      </c>
      <c r="D408" s="17" t="s">
        <v>24</v>
      </c>
      <c r="E408" s="17" t="s">
        <v>25</v>
      </c>
      <c r="F408" s="17" t="s">
        <v>14</v>
      </c>
      <c r="G408">
        <v>2</v>
      </c>
      <c r="H408">
        <v>850000</v>
      </c>
      <c r="I408">
        <v>620000</v>
      </c>
      <c r="J408">
        <v>85000</v>
      </c>
      <c r="K408" s="17">
        <f>(Fact_Ventas_Detalle[[#This Row],[Cantidad]]*Fact_Ventas_Detalle[[#This Row],[Precio Unitario]])-Fact_Ventas_Detalle[[#This Row],[Descuento Linea]]</f>
        <v>1615000</v>
      </c>
    </row>
    <row r="409" spans="1:11" x14ac:dyDescent="0.25">
      <c r="A409">
        <v>34</v>
      </c>
      <c r="B409" s="17" t="s">
        <v>448</v>
      </c>
      <c r="C409">
        <v>1</v>
      </c>
      <c r="D409" s="17" t="s">
        <v>12</v>
      </c>
      <c r="E409" s="17" t="s">
        <v>13</v>
      </c>
      <c r="F409" s="17" t="s">
        <v>14</v>
      </c>
      <c r="G409">
        <v>3</v>
      </c>
      <c r="H409">
        <v>280000</v>
      </c>
      <c r="I409">
        <v>190000</v>
      </c>
      <c r="J409">
        <v>42000</v>
      </c>
      <c r="K409" s="17">
        <f>(Fact_Ventas_Detalle[[#This Row],[Cantidad]]*Fact_Ventas_Detalle[[#This Row],[Precio Unitario]])-Fact_Ventas_Detalle[[#This Row],[Descuento Linea]]</f>
        <v>798000</v>
      </c>
    </row>
    <row r="410" spans="1:11" x14ac:dyDescent="0.25">
      <c r="A410">
        <v>35</v>
      </c>
      <c r="B410" s="17" t="s">
        <v>140</v>
      </c>
      <c r="C410">
        <v>1</v>
      </c>
      <c r="D410" s="17" t="s">
        <v>24</v>
      </c>
      <c r="E410" s="17" t="s">
        <v>25</v>
      </c>
      <c r="F410" s="17" t="s">
        <v>14</v>
      </c>
      <c r="G410">
        <v>3</v>
      </c>
      <c r="H410">
        <v>850000</v>
      </c>
      <c r="I410">
        <v>620000</v>
      </c>
      <c r="J410">
        <v>0</v>
      </c>
      <c r="K410" s="17">
        <f>(Fact_Ventas_Detalle[[#This Row],[Cantidad]]*Fact_Ventas_Detalle[[#This Row],[Precio Unitario]])-Fact_Ventas_Detalle[[#This Row],[Descuento Linea]]</f>
        <v>2550000</v>
      </c>
    </row>
    <row r="411" spans="1:11" x14ac:dyDescent="0.25">
      <c r="A411">
        <v>35</v>
      </c>
      <c r="B411" s="17" t="s">
        <v>141</v>
      </c>
      <c r="C411">
        <v>1</v>
      </c>
      <c r="D411" s="17" t="s">
        <v>12</v>
      </c>
      <c r="E411" s="17" t="s">
        <v>13</v>
      </c>
      <c r="F411" s="17" t="s">
        <v>14</v>
      </c>
      <c r="G411">
        <v>3</v>
      </c>
      <c r="H411">
        <v>280000</v>
      </c>
      <c r="I411">
        <v>190000</v>
      </c>
      <c r="J411">
        <v>0</v>
      </c>
      <c r="K411" s="17">
        <f>(Fact_Ventas_Detalle[[#This Row],[Cantidad]]*Fact_Ventas_Detalle[[#This Row],[Precio Unitario]])-Fact_Ventas_Detalle[[#This Row],[Descuento Linea]]</f>
        <v>840000</v>
      </c>
    </row>
    <row r="412" spans="1:11" x14ac:dyDescent="0.25">
      <c r="A412">
        <v>35</v>
      </c>
      <c r="B412" s="17" t="s">
        <v>142</v>
      </c>
      <c r="C412">
        <v>1</v>
      </c>
      <c r="D412" s="17" t="s">
        <v>24</v>
      </c>
      <c r="E412" s="17" t="s">
        <v>25</v>
      </c>
      <c r="F412" s="17" t="s">
        <v>14</v>
      </c>
      <c r="G412">
        <v>2</v>
      </c>
      <c r="H412">
        <v>850000</v>
      </c>
      <c r="I412">
        <v>620000</v>
      </c>
      <c r="J412">
        <v>0</v>
      </c>
      <c r="K412" s="17">
        <f>(Fact_Ventas_Detalle[[#This Row],[Cantidad]]*Fact_Ventas_Detalle[[#This Row],[Precio Unitario]])-Fact_Ventas_Detalle[[#This Row],[Descuento Linea]]</f>
        <v>1700000</v>
      </c>
    </row>
    <row r="413" spans="1:11" x14ac:dyDescent="0.25">
      <c r="A413">
        <v>35</v>
      </c>
      <c r="B413" s="17" t="s">
        <v>138</v>
      </c>
      <c r="C413">
        <v>2</v>
      </c>
      <c r="D413" s="17" t="s">
        <v>17</v>
      </c>
      <c r="E413" s="17" t="s">
        <v>18</v>
      </c>
      <c r="F413" s="17" t="s">
        <v>19</v>
      </c>
      <c r="G413">
        <v>1</v>
      </c>
      <c r="H413">
        <v>65000</v>
      </c>
      <c r="I413">
        <v>35000</v>
      </c>
      <c r="J413">
        <v>0</v>
      </c>
      <c r="K413" s="17">
        <f>(Fact_Ventas_Detalle[[#This Row],[Cantidad]]*Fact_Ventas_Detalle[[#This Row],[Precio Unitario]])-Fact_Ventas_Detalle[[#This Row],[Descuento Linea]]</f>
        <v>65000</v>
      </c>
    </row>
    <row r="414" spans="1:11" x14ac:dyDescent="0.25">
      <c r="A414">
        <v>35</v>
      </c>
      <c r="B414" s="17" t="s">
        <v>448</v>
      </c>
      <c r="C414">
        <v>2</v>
      </c>
      <c r="D414" s="17" t="s">
        <v>39</v>
      </c>
      <c r="E414" s="17" t="s">
        <v>40</v>
      </c>
      <c r="F414" s="17" t="s">
        <v>14</v>
      </c>
      <c r="G414">
        <v>3</v>
      </c>
      <c r="H414">
        <v>75000</v>
      </c>
      <c r="I414">
        <v>42000</v>
      </c>
      <c r="J414">
        <v>0</v>
      </c>
      <c r="K414" s="17">
        <f>(Fact_Ventas_Detalle[[#This Row],[Cantidad]]*Fact_Ventas_Detalle[[#This Row],[Precio Unitario]])-Fact_Ventas_Detalle[[#This Row],[Descuento Linea]]</f>
        <v>225000</v>
      </c>
    </row>
    <row r="415" spans="1:11" x14ac:dyDescent="0.25">
      <c r="A415">
        <v>35</v>
      </c>
      <c r="B415" s="17" t="s">
        <v>133</v>
      </c>
      <c r="C415">
        <v>4</v>
      </c>
      <c r="D415" s="17" t="s">
        <v>12</v>
      </c>
      <c r="E415" s="17" t="s">
        <v>13</v>
      </c>
      <c r="F415" s="17" t="s">
        <v>14</v>
      </c>
      <c r="G415">
        <v>3</v>
      </c>
      <c r="H415">
        <v>280000</v>
      </c>
      <c r="I415">
        <v>190000</v>
      </c>
      <c r="J415">
        <v>0</v>
      </c>
      <c r="K415" s="17">
        <f>(Fact_Ventas_Detalle[[#This Row],[Cantidad]]*Fact_Ventas_Detalle[[#This Row],[Precio Unitario]])-Fact_Ventas_Detalle[[#This Row],[Descuento Linea]]</f>
        <v>840000</v>
      </c>
    </row>
    <row r="416" spans="1:11" x14ac:dyDescent="0.25">
      <c r="A416">
        <v>35</v>
      </c>
      <c r="B416" s="17" t="s">
        <v>829</v>
      </c>
      <c r="C416">
        <v>4</v>
      </c>
      <c r="D416" s="17" t="s">
        <v>12</v>
      </c>
      <c r="E416" s="17" t="s">
        <v>13</v>
      </c>
      <c r="F416" s="17" t="s">
        <v>14</v>
      </c>
      <c r="G416">
        <v>3</v>
      </c>
      <c r="H416">
        <v>280000</v>
      </c>
      <c r="I416">
        <v>190000</v>
      </c>
      <c r="J416">
        <v>0</v>
      </c>
      <c r="K416" s="17">
        <f>(Fact_Ventas_Detalle[[#This Row],[Cantidad]]*Fact_Ventas_Detalle[[#This Row],[Precio Unitario]])-Fact_Ventas_Detalle[[#This Row],[Descuento Linea]]</f>
        <v>840000</v>
      </c>
    </row>
    <row r="417" spans="1:11" x14ac:dyDescent="0.25">
      <c r="A417">
        <v>35</v>
      </c>
      <c r="B417" s="17" t="s">
        <v>132</v>
      </c>
      <c r="C417">
        <v>4</v>
      </c>
      <c r="D417" s="17" t="s">
        <v>12</v>
      </c>
      <c r="E417" s="17" t="s">
        <v>13</v>
      </c>
      <c r="F417" s="17" t="s">
        <v>14</v>
      </c>
      <c r="G417">
        <v>3</v>
      </c>
      <c r="H417">
        <v>280000</v>
      </c>
      <c r="I417">
        <v>190000</v>
      </c>
      <c r="J417">
        <v>42000</v>
      </c>
      <c r="K417" s="17">
        <f>(Fact_Ventas_Detalle[[#This Row],[Cantidad]]*Fact_Ventas_Detalle[[#This Row],[Precio Unitario]])-Fact_Ventas_Detalle[[#This Row],[Descuento Linea]]</f>
        <v>798000</v>
      </c>
    </row>
    <row r="418" spans="1:11" x14ac:dyDescent="0.25">
      <c r="A418">
        <v>35</v>
      </c>
      <c r="B418" s="17" t="s">
        <v>137</v>
      </c>
      <c r="C418">
        <v>2</v>
      </c>
      <c r="D418" s="17" t="s">
        <v>42</v>
      </c>
      <c r="E418" s="17" t="s">
        <v>43</v>
      </c>
      <c r="F418" s="17" t="s">
        <v>29</v>
      </c>
      <c r="G418">
        <v>1</v>
      </c>
      <c r="H418">
        <v>185000</v>
      </c>
      <c r="I418">
        <v>115000</v>
      </c>
      <c r="J418">
        <v>9250</v>
      </c>
      <c r="K418" s="17">
        <f>(Fact_Ventas_Detalle[[#This Row],[Cantidad]]*Fact_Ventas_Detalle[[#This Row],[Precio Unitario]])-Fact_Ventas_Detalle[[#This Row],[Descuento Linea]]</f>
        <v>175750</v>
      </c>
    </row>
    <row r="419" spans="1:11" x14ac:dyDescent="0.25">
      <c r="A419">
        <v>35</v>
      </c>
      <c r="B419" s="17" t="s">
        <v>621</v>
      </c>
      <c r="C419">
        <v>1</v>
      </c>
      <c r="D419" s="17" t="s">
        <v>27</v>
      </c>
      <c r="E419" s="17" t="s">
        <v>28</v>
      </c>
      <c r="F419" s="17" t="s">
        <v>29</v>
      </c>
      <c r="G419">
        <v>2</v>
      </c>
      <c r="H419">
        <v>240000</v>
      </c>
      <c r="I419">
        <v>150000</v>
      </c>
      <c r="J419">
        <v>48000</v>
      </c>
      <c r="K419" s="17">
        <f>(Fact_Ventas_Detalle[[#This Row],[Cantidad]]*Fact_Ventas_Detalle[[#This Row],[Precio Unitario]])-Fact_Ventas_Detalle[[#This Row],[Descuento Linea]]</f>
        <v>432000</v>
      </c>
    </row>
    <row r="420" spans="1:11" x14ac:dyDescent="0.25">
      <c r="A420">
        <v>35</v>
      </c>
      <c r="B420" s="17" t="s">
        <v>143</v>
      </c>
      <c r="C420">
        <v>1</v>
      </c>
      <c r="D420" s="17" t="s">
        <v>42</v>
      </c>
      <c r="E420" s="17" t="s">
        <v>43</v>
      </c>
      <c r="F420" s="17" t="s">
        <v>29</v>
      </c>
      <c r="G420">
        <v>1</v>
      </c>
      <c r="H420">
        <v>185000</v>
      </c>
      <c r="I420">
        <v>115000</v>
      </c>
      <c r="J420">
        <v>9250</v>
      </c>
      <c r="K420" s="17">
        <f>(Fact_Ventas_Detalle[[#This Row],[Cantidad]]*Fact_Ventas_Detalle[[#This Row],[Precio Unitario]])-Fact_Ventas_Detalle[[#This Row],[Descuento Linea]]</f>
        <v>175750</v>
      </c>
    </row>
    <row r="421" spans="1:11" x14ac:dyDescent="0.25">
      <c r="A421">
        <v>35</v>
      </c>
      <c r="B421" s="17" t="s">
        <v>529</v>
      </c>
      <c r="C421">
        <v>1</v>
      </c>
      <c r="D421" s="17" t="s">
        <v>42</v>
      </c>
      <c r="E421" s="17" t="s">
        <v>43</v>
      </c>
      <c r="F421" s="17" t="s">
        <v>29</v>
      </c>
      <c r="G421">
        <v>1</v>
      </c>
      <c r="H421">
        <v>185000</v>
      </c>
      <c r="I421">
        <v>115000</v>
      </c>
      <c r="J421">
        <v>18500</v>
      </c>
      <c r="K421" s="17">
        <f>(Fact_Ventas_Detalle[[#This Row],[Cantidad]]*Fact_Ventas_Detalle[[#This Row],[Precio Unitario]])-Fact_Ventas_Detalle[[#This Row],[Descuento Linea]]</f>
        <v>166500</v>
      </c>
    </row>
    <row r="422" spans="1:11" x14ac:dyDescent="0.25">
      <c r="A422">
        <v>36</v>
      </c>
      <c r="B422" s="17" t="s">
        <v>145</v>
      </c>
      <c r="C422">
        <v>1</v>
      </c>
      <c r="D422" s="17" t="s">
        <v>31</v>
      </c>
      <c r="E422" s="17" t="s">
        <v>32</v>
      </c>
      <c r="F422" s="17" t="s">
        <v>33</v>
      </c>
      <c r="G422">
        <v>3</v>
      </c>
      <c r="H422">
        <v>25000</v>
      </c>
      <c r="I422">
        <v>11000</v>
      </c>
      <c r="J422">
        <v>0</v>
      </c>
      <c r="K422" s="17">
        <f>(Fact_Ventas_Detalle[[#This Row],[Cantidad]]*Fact_Ventas_Detalle[[#This Row],[Precio Unitario]])-Fact_Ventas_Detalle[[#This Row],[Descuento Linea]]</f>
        <v>75000</v>
      </c>
    </row>
    <row r="423" spans="1:11" x14ac:dyDescent="0.25">
      <c r="A423">
        <v>36</v>
      </c>
      <c r="B423" s="17" t="s">
        <v>146</v>
      </c>
      <c r="C423">
        <v>1</v>
      </c>
      <c r="D423" s="17" t="s">
        <v>27</v>
      </c>
      <c r="E423" s="17" t="s">
        <v>28</v>
      </c>
      <c r="F423" s="17" t="s">
        <v>29</v>
      </c>
      <c r="G423">
        <v>3</v>
      </c>
      <c r="H423">
        <v>240000</v>
      </c>
      <c r="I423">
        <v>150000</v>
      </c>
      <c r="J423">
        <v>0</v>
      </c>
      <c r="K423" s="17">
        <f>(Fact_Ventas_Detalle[[#This Row],[Cantidad]]*Fact_Ventas_Detalle[[#This Row],[Precio Unitario]])-Fact_Ventas_Detalle[[#This Row],[Descuento Linea]]</f>
        <v>720000</v>
      </c>
    </row>
    <row r="424" spans="1:11" x14ac:dyDescent="0.25">
      <c r="A424">
        <v>36</v>
      </c>
      <c r="B424" s="17" t="s">
        <v>144</v>
      </c>
      <c r="C424">
        <v>1</v>
      </c>
      <c r="D424" s="17" t="s">
        <v>37</v>
      </c>
      <c r="E424" s="17" t="s">
        <v>38</v>
      </c>
      <c r="F424" s="17" t="s">
        <v>33</v>
      </c>
      <c r="G424">
        <v>2</v>
      </c>
      <c r="H424">
        <v>45000</v>
      </c>
      <c r="I424">
        <v>22000</v>
      </c>
      <c r="J424">
        <v>0</v>
      </c>
      <c r="K424" s="17">
        <f>(Fact_Ventas_Detalle[[#This Row],[Cantidad]]*Fact_Ventas_Detalle[[#This Row],[Precio Unitario]])-Fact_Ventas_Detalle[[#This Row],[Descuento Linea]]</f>
        <v>90000</v>
      </c>
    </row>
    <row r="425" spans="1:11" x14ac:dyDescent="0.25">
      <c r="A425">
        <v>36</v>
      </c>
      <c r="B425" s="17" t="s">
        <v>141</v>
      </c>
      <c r="C425">
        <v>2</v>
      </c>
      <c r="D425" s="17" t="s">
        <v>17</v>
      </c>
      <c r="E425" s="17" t="s">
        <v>18</v>
      </c>
      <c r="F425" s="17" t="s">
        <v>19</v>
      </c>
      <c r="G425">
        <v>3</v>
      </c>
      <c r="H425">
        <v>65000</v>
      </c>
      <c r="I425">
        <v>35000</v>
      </c>
      <c r="J425">
        <v>0</v>
      </c>
      <c r="K425" s="17">
        <f>(Fact_Ventas_Detalle[[#This Row],[Cantidad]]*Fact_Ventas_Detalle[[#This Row],[Precio Unitario]])-Fact_Ventas_Detalle[[#This Row],[Descuento Linea]]</f>
        <v>195000</v>
      </c>
    </row>
    <row r="426" spans="1:11" x14ac:dyDescent="0.25">
      <c r="A426">
        <v>36</v>
      </c>
      <c r="B426" s="17" t="s">
        <v>142</v>
      </c>
      <c r="C426">
        <v>2</v>
      </c>
      <c r="D426" s="17" t="s">
        <v>37</v>
      </c>
      <c r="E426" s="17" t="s">
        <v>38</v>
      </c>
      <c r="F426" s="17" t="s">
        <v>33</v>
      </c>
      <c r="G426">
        <v>2</v>
      </c>
      <c r="H426">
        <v>45000</v>
      </c>
      <c r="I426">
        <v>22000</v>
      </c>
      <c r="J426">
        <v>0</v>
      </c>
      <c r="K426" s="17">
        <f>(Fact_Ventas_Detalle[[#This Row],[Cantidad]]*Fact_Ventas_Detalle[[#This Row],[Precio Unitario]])-Fact_Ventas_Detalle[[#This Row],[Descuento Linea]]</f>
        <v>90000</v>
      </c>
    </row>
    <row r="427" spans="1:11" x14ac:dyDescent="0.25">
      <c r="A427">
        <v>36</v>
      </c>
      <c r="B427" s="17" t="s">
        <v>529</v>
      </c>
      <c r="C427">
        <v>2</v>
      </c>
      <c r="D427" s="17" t="s">
        <v>12</v>
      </c>
      <c r="E427" s="17" t="s">
        <v>13</v>
      </c>
      <c r="F427" s="17" t="s">
        <v>14</v>
      </c>
      <c r="G427">
        <v>3</v>
      </c>
      <c r="H427">
        <v>280000</v>
      </c>
      <c r="I427">
        <v>190000</v>
      </c>
      <c r="J427">
        <v>0</v>
      </c>
      <c r="K427" s="17">
        <f>(Fact_Ventas_Detalle[[#This Row],[Cantidad]]*Fact_Ventas_Detalle[[#This Row],[Precio Unitario]])-Fact_Ventas_Detalle[[#This Row],[Descuento Linea]]</f>
        <v>840000</v>
      </c>
    </row>
    <row r="428" spans="1:11" x14ac:dyDescent="0.25">
      <c r="A428">
        <v>36</v>
      </c>
      <c r="B428" s="17" t="s">
        <v>621</v>
      </c>
      <c r="C428">
        <v>2</v>
      </c>
      <c r="D428" s="17" t="s">
        <v>37</v>
      </c>
      <c r="E428" s="17" t="s">
        <v>38</v>
      </c>
      <c r="F428" s="17" t="s">
        <v>33</v>
      </c>
      <c r="G428">
        <v>2</v>
      </c>
      <c r="H428">
        <v>45000</v>
      </c>
      <c r="I428">
        <v>22000</v>
      </c>
      <c r="J428">
        <v>0</v>
      </c>
      <c r="K428" s="17">
        <f>(Fact_Ventas_Detalle[[#This Row],[Cantidad]]*Fact_Ventas_Detalle[[#This Row],[Precio Unitario]])-Fact_Ventas_Detalle[[#This Row],[Descuento Linea]]</f>
        <v>90000</v>
      </c>
    </row>
    <row r="429" spans="1:11" x14ac:dyDescent="0.25">
      <c r="A429">
        <v>36</v>
      </c>
      <c r="B429" s="17" t="s">
        <v>448</v>
      </c>
      <c r="C429">
        <v>3</v>
      </c>
      <c r="D429" s="17" t="s">
        <v>24</v>
      </c>
      <c r="E429" s="17" t="s">
        <v>25</v>
      </c>
      <c r="F429" s="17" t="s">
        <v>14</v>
      </c>
      <c r="G429">
        <v>1</v>
      </c>
      <c r="H429">
        <v>850000</v>
      </c>
      <c r="I429">
        <v>620000</v>
      </c>
      <c r="J429">
        <v>85000</v>
      </c>
      <c r="K429" s="17">
        <f>(Fact_Ventas_Detalle[[#This Row],[Cantidad]]*Fact_Ventas_Detalle[[#This Row],[Precio Unitario]])-Fact_Ventas_Detalle[[#This Row],[Descuento Linea]]</f>
        <v>765000</v>
      </c>
    </row>
    <row r="430" spans="1:11" x14ac:dyDescent="0.25">
      <c r="A430">
        <v>36</v>
      </c>
      <c r="B430" s="17" t="s">
        <v>148</v>
      </c>
      <c r="C430">
        <v>1</v>
      </c>
      <c r="D430" s="17" t="s">
        <v>17</v>
      </c>
      <c r="E430" s="17" t="s">
        <v>18</v>
      </c>
      <c r="F430" s="17" t="s">
        <v>19</v>
      </c>
      <c r="G430">
        <v>2</v>
      </c>
      <c r="H430">
        <v>65000</v>
      </c>
      <c r="I430">
        <v>35000</v>
      </c>
      <c r="J430">
        <v>13000</v>
      </c>
      <c r="K430" s="17">
        <f>(Fact_Ventas_Detalle[[#This Row],[Cantidad]]*Fact_Ventas_Detalle[[#This Row],[Precio Unitario]])-Fact_Ventas_Detalle[[#This Row],[Descuento Linea]]</f>
        <v>117000</v>
      </c>
    </row>
    <row r="431" spans="1:11" x14ac:dyDescent="0.25">
      <c r="A431">
        <v>36</v>
      </c>
      <c r="B431" s="17" t="s">
        <v>149</v>
      </c>
      <c r="C431">
        <v>1</v>
      </c>
      <c r="D431" s="17" t="s">
        <v>24</v>
      </c>
      <c r="E431" s="17" t="s">
        <v>25</v>
      </c>
      <c r="F431" s="17" t="s">
        <v>14</v>
      </c>
      <c r="G431">
        <v>3</v>
      </c>
      <c r="H431">
        <v>850000</v>
      </c>
      <c r="I431">
        <v>620000</v>
      </c>
      <c r="J431">
        <v>127500</v>
      </c>
      <c r="K431" s="17">
        <f>(Fact_Ventas_Detalle[[#This Row],[Cantidad]]*Fact_Ventas_Detalle[[#This Row],[Precio Unitario]])-Fact_Ventas_Detalle[[#This Row],[Descuento Linea]]</f>
        <v>2422500</v>
      </c>
    </row>
    <row r="432" spans="1:11" x14ac:dyDescent="0.25">
      <c r="A432">
        <v>36</v>
      </c>
      <c r="B432" s="17" t="s">
        <v>470</v>
      </c>
      <c r="C432">
        <v>1</v>
      </c>
      <c r="D432" s="17" t="s">
        <v>17</v>
      </c>
      <c r="E432" s="17" t="s">
        <v>18</v>
      </c>
      <c r="F432" s="17" t="s">
        <v>19</v>
      </c>
      <c r="G432">
        <v>3</v>
      </c>
      <c r="H432">
        <v>65000</v>
      </c>
      <c r="I432">
        <v>35000</v>
      </c>
      <c r="J432">
        <v>9750</v>
      </c>
      <c r="K432" s="17">
        <f>(Fact_Ventas_Detalle[[#This Row],[Cantidad]]*Fact_Ventas_Detalle[[#This Row],[Precio Unitario]])-Fact_Ventas_Detalle[[#This Row],[Descuento Linea]]</f>
        <v>185250</v>
      </c>
    </row>
    <row r="433" spans="1:11" x14ac:dyDescent="0.25">
      <c r="A433">
        <v>36</v>
      </c>
      <c r="B433" s="17" t="s">
        <v>147</v>
      </c>
      <c r="C433">
        <v>1</v>
      </c>
      <c r="D433" s="17" t="s">
        <v>31</v>
      </c>
      <c r="E433" s="17" t="s">
        <v>32</v>
      </c>
      <c r="F433" s="17" t="s">
        <v>33</v>
      </c>
      <c r="G433">
        <v>1</v>
      </c>
      <c r="H433">
        <v>25000</v>
      </c>
      <c r="I433">
        <v>11000</v>
      </c>
      <c r="J433">
        <v>2500</v>
      </c>
      <c r="K433" s="17">
        <f>(Fact_Ventas_Detalle[[#This Row],[Cantidad]]*Fact_Ventas_Detalle[[#This Row],[Precio Unitario]])-Fact_Ventas_Detalle[[#This Row],[Descuento Linea]]</f>
        <v>22500</v>
      </c>
    </row>
    <row r="434" spans="1:11" x14ac:dyDescent="0.25">
      <c r="A434">
        <v>37</v>
      </c>
      <c r="B434" s="17" t="s">
        <v>150</v>
      </c>
      <c r="C434">
        <v>1</v>
      </c>
      <c r="D434" s="17" t="s">
        <v>12</v>
      </c>
      <c r="E434" s="17" t="s">
        <v>13</v>
      </c>
      <c r="F434" s="17" t="s">
        <v>14</v>
      </c>
      <c r="G434">
        <v>3</v>
      </c>
      <c r="H434">
        <v>280000</v>
      </c>
      <c r="I434">
        <v>190000</v>
      </c>
      <c r="J434">
        <v>0</v>
      </c>
      <c r="K434" s="17">
        <f>(Fact_Ventas_Detalle[[#This Row],[Cantidad]]*Fact_Ventas_Detalle[[#This Row],[Precio Unitario]])-Fact_Ventas_Detalle[[#This Row],[Descuento Linea]]</f>
        <v>840000</v>
      </c>
    </row>
    <row r="435" spans="1:11" x14ac:dyDescent="0.25">
      <c r="A435">
        <v>37</v>
      </c>
      <c r="B435" s="17" t="s">
        <v>151</v>
      </c>
      <c r="C435">
        <v>1</v>
      </c>
      <c r="D435" s="17" t="s">
        <v>12</v>
      </c>
      <c r="E435" s="17" t="s">
        <v>13</v>
      </c>
      <c r="F435" s="17" t="s">
        <v>14</v>
      </c>
      <c r="G435">
        <v>1</v>
      </c>
      <c r="H435">
        <v>280000</v>
      </c>
      <c r="I435">
        <v>190000</v>
      </c>
      <c r="J435">
        <v>0</v>
      </c>
      <c r="K435" s="17">
        <f>(Fact_Ventas_Detalle[[#This Row],[Cantidad]]*Fact_Ventas_Detalle[[#This Row],[Precio Unitario]])-Fact_Ventas_Detalle[[#This Row],[Descuento Linea]]</f>
        <v>280000</v>
      </c>
    </row>
    <row r="436" spans="1:11" x14ac:dyDescent="0.25">
      <c r="A436">
        <v>37</v>
      </c>
      <c r="B436" s="17" t="s">
        <v>152</v>
      </c>
      <c r="C436">
        <v>1</v>
      </c>
      <c r="D436" s="17" t="s">
        <v>42</v>
      </c>
      <c r="E436" s="17" t="s">
        <v>43</v>
      </c>
      <c r="F436" s="17" t="s">
        <v>29</v>
      </c>
      <c r="G436">
        <v>2</v>
      </c>
      <c r="H436">
        <v>185000</v>
      </c>
      <c r="I436">
        <v>115000</v>
      </c>
      <c r="J436">
        <v>0</v>
      </c>
      <c r="K436" s="17">
        <f>(Fact_Ventas_Detalle[[#This Row],[Cantidad]]*Fact_Ventas_Detalle[[#This Row],[Precio Unitario]])-Fact_Ventas_Detalle[[#This Row],[Descuento Linea]]</f>
        <v>370000</v>
      </c>
    </row>
    <row r="437" spans="1:11" x14ac:dyDescent="0.25">
      <c r="A437">
        <v>37</v>
      </c>
      <c r="B437" s="17" t="s">
        <v>147</v>
      </c>
      <c r="C437">
        <v>2</v>
      </c>
      <c r="D437" s="17" t="s">
        <v>12</v>
      </c>
      <c r="E437" s="17" t="s">
        <v>13</v>
      </c>
      <c r="F437" s="17" t="s">
        <v>14</v>
      </c>
      <c r="G437">
        <v>3</v>
      </c>
      <c r="H437">
        <v>280000</v>
      </c>
      <c r="I437">
        <v>190000</v>
      </c>
      <c r="J437">
        <v>0</v>
      </c>
      <c r="K437" s="17">
        <f>(Fact_Ventas_Detalle[[#This Row],[Cantidad]]*Fact_Ventas_Detalle[[#This Row],[Precio Unitario]])-Fact_Ventas_Detalle[[#This Row],[Descuento Linea]]</f>
        <v>840000</v>
      </c>
    </row>
    <row r="438" spans="1:11" x14ac:dyDescent="0.25">
      <c r="A438">
        <v>37</v>
      </c>
      <c r="B438" s="17" t="s">
        <v>141</v>
      </c>
      <c r="C438">
        <v>3</v>
      </c>
      <c r="D438" s="17" t="s">
        <v>37</v>
      </c>
      <c r="E438" s="17" t="s">
        <v>38</v>
      </c>
      <c r="F438" s="17" t="s">
        <v>33</v>
      </c>
      <c r="G438">
        <v>1</v>
      </c>
      <c r="H438">
        <v>45000</v>
      </c>
      <c r="I438">
        <v>22000</v>
      </c>
      <c r="J438">
        <v>0</v>
      </c>
      <c r="K438" s="17">
        <f>(Fact_Ventas_Detalle[[#This Row],[Cantidad]]*Fact_Ventas_Detalle[[#This Row],[Precio Unitario]])-Fact_Ventas_Detalle[[#This Row],[Descuento Linea]]</f>
        <v>45000</v>
      </c>
    </row>
    <row r="439" spans="1:11" x14ac:dyDescent="0.25">
      <c r="A439">
        <v>37</v>
      </c>
      <c r="B439" s="17" t="s">
        <v>448</v>
      </c>
      <c r="C439">
        <v>4</v>
      </c>
      <c r="D439" s="17" t="s">
        <v>27</v>
      </c>
      <c r="E439" s="17" t="s">
        <v>28</v>
      </c>
      <c r="F439" s="17" t="s">
        <v>29</v>
      </c>
      <c r="G439">
        <v>1</v>
      </c>
      <c r="H439">
        <v>240000</v>
      </c>
      <c r="I439">
        <v>150000</v>
      </c>
      <c r="J439">
        <v>0</v>
      </c>
      <c r="K439" s="17">
        <f>(Fact_Ventas_Detalle[[#This Row],[Cantidad]]*Fact_Ventas_Detalle[[#This Row],[Precio Unitario]])-Fact_Ventas_Detalle[[#This Row],[Descuento Linea]]</f>
        <v>240000</v>
      </c>
    </row>
    <row r="440" spans="1:11" x14ac:dyDescent="0.25">
      <c r="A440">
        <v>37</v>
      </c>
      <c r="B440" s="17" t="s">
        <v>621</v>
      </c>
      <c r="C440">
        <v>3</v>
      </c>
      <c r="D440" s="17" t="s">
        <v>42</v>
      </c>
      <c r="E440" s="17" t="s">
        <v>43</v>
      </c>
      <c r="F440" s="17" t="s">
        <v>29</v>
      </c>
      <c r="G440">
        <v>1</v>
      </c>
      <c r="H440">
        <v>185000</v>
      </c>
      <c r="I440">
        <v>115000</v>
      </c>
      <c r="J440">
        <v>9250</v>
      </c>
      <c r="K440" s="17">
        <f>(Fact_Ventas_Detalle[[#This Row],[Cantidad]]*Fact_Ventas_Detalle[[#This Row],[Precio Unitario]])-Fact_Ventas_Detalle[[#This Row],[Descuento Linea]]</f>
        <v>175750</v>
      </c>
    </row>
    <row r="441" spans="1:11" x14ac:dyDescent="0.25">
      <c r="A441">
        <v>37</v>
      </c>
      <c r="B441" s="17" t="s">
        <v>149</v>
      </c>
      <c r="C441">
        <v>2</v>
      </c>
      <c r="D441" s="17" t="s">
        <v>31</v>
      </c>
      <c r="E441" s="17" t="s">
        <v>32</v>
      </c>
      <c r="F441" s="17" t="s">
        <v>33</v>
      </c>
      <c r="G441">
        <v>3</v>
      </c>
      <c r="H441">
        <v>25000</v>
      </c>
      <c r="I441">
        <v>11000</v>
      </c>
      <c r="J441">
        <v>3750</v>
      </c>
      <c r="K441" s="17">
        <f>(Fact_Ventas_Detalle[[#This Row],[Cantidad]]*Fact_Ventas_Detalle[[#This Row],[Precio Unitario]])-Fact_Ventas_Detalle[[#This Row],[Descuento Linea]]</f>
        <v>71250</v>
      </c>
    </row>
    <row r="442" spans="1:11" x14ac:dyDescent="0.25">
      <c r="A442">
        <v>37</v>
      </c>
      <c r="B442" s="17" t="s">
        <v>470</v>
      </c>
      <c r="C442">
        <v>2</v>
      </c>
      <c r="D442" s="17" t="s">
        <v>31</v>
      </c>
      <c r="E442" s="17" t="s">
        <v>32</v>
      </c>
      <c r="F442" s="17" t="s">
        <v>33</v>
      </c>
      <c r="G442">
        <v>1</v>
      </c>
      <c r="H442">
        <v>25000</v>
      </c>
      <c r="I442">
        <v>11000</v>
      </c>
      <c r="J442">
        <v>2500</v>
      </c>
      <c r="K442" s="17">
        <f>(Fact_Ventas_Detalle[[#This Row],[Cantidad]]*Fact_Ventas_Detalle[[#This Row],[Precio Unitario]])-Fact_Ventas_Detalle[[#This Row],[Descuento Linea]]</f>
        <v>22500</v>
      </c>
    </row>
    <row r="443" spans="1:11" x14ac:dyDescent="0.25">
      <c r="A443">
        <v>37</v>
      </c>
      <c r="B443" s="17" t="s">
        <v>153</v>
      </c>
      <c r="C443">
        <v>1</v>
      </c>
      <c r="D443" s="17" t="s">
        <v>37</v>
      </c>
      <c r="E443" s="17" t="s">
        <v>38</v>
      </c>
      <c r="F443" s="17" t="s">
        <v>33</v>
      </c>
      <c r="G443">
        <v>1</v>
      </c>
      <c r="H443">
        <v>45000</v>
      </c>
      <c r="I443">
        <v>22000</v>
      </c>
      <c r="J443">
        <v>2250</v>
      </c>
      <c r="K443" s="17">
        <f>(Fact_Ventas_Detalle[[#This Row],[Cantidad]]*Fact_Ventas_Detalle[[#This Row],[Precio Unitario]])-Fact_Ventas_Detalle[[#This Row],[Descuento Linea]]</f>
        <v>42750</v>
      </c>
    </row>
    <row r="444" spans="1:11" x14ac:dyDescent="0.25">
      <c r="A444">
        <v>37</v>
      </c>
      <c r="B444" s="17" t="s">
        <v>154</v>
      </c>
      <c r="C444">
        <v>1</v>
      </c>
      <c r="D444" s="17" t="s">
        <v>39</v>
      </c>
      <c r="E444" s="17" t="s">
        <v>40</v>
      </c>
      <c r="F444" s="17" t="s">
        <v>14</v>
      </c>
      <c r="G444">
        <v>1</v>
      </c>
      <c r="H444">
        <v>75000</v>
      </c>
      <c r="I444">
        <v>42000</v>
      </c>
      <c r="J444">
        <v>7500</v>
      </c>
      <c r="K444" s="17">
        <f>(Fact_Ventas_Detalle[[#This Row],[Cantidad]]*Fact_Ventas_Detalle[[#This Row],[Precio Unitario]])-Fact_Ventas_Detalle[[#This Row],[Descuento Linea]]</f>
        <v>67500</v>
      </c>
    </row>
    <row r="445" spans="1:11" x14ac:dyDescent="0.25">
      <c r="A445">
        <v>37</v>
      </c>
      <c r="B445" s="17" t="s">
        <v>799</v>
      </c>
      <c r="C445">
        <v>1</v>
      </c>
      <c r="D445" s="17" t="s">
        <v>17</v>
      </c>
      <c r="E445" s="17" t="s">
        <v>18</v>
      </c>
      <c r="F445" s="17" t="s">
        <v>19</v>
      </c>
      <c r="G445">
        <v>1</v>
      </c>
      <c r="H445">
        <v>65000</v>
      </c>
      <c r="I445">
        <v>35000</v>
      </c>
      <c r="J445">
        <v>6500</v>
      </c>
      <c r="K445" s="17">
        <f>(Fact_Ventas_Detalle[[#This Row],[Cantidad]]*Fact_Ventas_Detalle[[#This Row],[Precio Unitario]])-Fact_Ventas_Detalle[[#This Row],[Descuento Linea]]</f>
        <v>58500</v>
      </c>
    </row>
    <row r="446" spans="1:11" x14ac:dyDescent="0.25">
      <c r="A446">
        <v>38</v>
      </c>
      <c r="B446" s="17" t="s">
        <v>157</v>
      </c>
      <c r="C446">
        <v>1</v>
      </c>
      <c r="D446" s="17" t="s">
        <v>37</v>
      </c>
      <c r="E446" s="17" t="s">
        <v>38</v>
      </c>
      <c r="F446" s="17" t="s">
        <v>33</v>
      </c>
      <c r="G446">
        <v>3</v>
      </c>
      <c r="H446">
        <v>45000</v>
      </c>
      <c r="I446">
        <v>22000</v>
      </c>
      <c r="J446">
        <v>0</v>
      </c>
      <c r="K446" s="17">
        <f>(Fact_Ventas_Detalle[[#This Row],[Cantidad]]*Fact_Ventas_Detalle[[#This Row],[Precio Unitario]])-Fact_Ventas_Detalle[[#This Row],[Descuento Linea]]</f>
        <v>135000</v>
      </c>
    </row>
    <row r="447" spans="1:11" x14ac:dyDescent="0.25">
      <c r="A447">
        <v>38</v>
      </c>
      <c r="B447" s="17" t="s">
        <v>155</v>
      </c>
      <c r="C447">
        <v>1</v>
      </c>
      <c r="D447" s="17" t="s">
        <v>37</v>
      </c>
      <c r="E447" s="17" t="s">
        <v>38</v>
      </c>
      <c r="F447" s="17" t="s">
        <v>33</v>
      </c>
      <c r="G447">
        <v>2</v>
      </c>
      <c r="H447">
        <v>45000</v>
      </c>
      <c r="I447">
        <v>22000</v>
      </c>
      <c r="J447">
        <v>0</v>
      </c>
      <c r="K447" s="17">
        <f>(Fact_Ventas_Detalle[[#This Row],[Cantidad]]*Fact_Ventas_Detalle[[#This Row],[Precio Unitario]])-Fact_Ventas_Detalle[[#This Row],[Descuento Linea]]</f>
        <v>90000</v>
      </c>
    </row>
    <row r="448" spans="1:11" x14ac:dyDescent="0.25">
      <c r="A448">
        <v>38</v>
      </c>
      <c r="B448" s="17" t="s">
        <v>156</v>
      </c>
      <c r="C448">
        <v>1</v>
      </c>
      <c r="D448" s="17" t="s">
        <v>37</v>
      </c>
      <c r="E448" s="17" t="s">
        <v>38</v>
      </c>
      <c r="F448" s="17" t="s">
        <v>33</v>
      </c>
      <c r="G448">
        <v>2</v>
      </c>
      <c r="H448">
        <v>45000</v>
      </c>
      <c r="I448">
        <v>22000</v>
      </c>
      <c r="J448">
        <v>0</v>
      </c>
      <c r="K448" s="17">
        <f>(Fact_Ventas_Detalle[[#This Row],[Cantidad]]*Fact_Ventas_Detalle[[#This Row],[Precio Unitario]])-Fact_Ventas_Detalle[[#This Row],[Descuento Linea]]</f>
        <v>90000</v>
      </c>
    </row>
    <row r="449" spans="1:11" x14ac:dyDescent="0.25">
      <c r="A449">
        <v>38</v>
      </c>
      <c r="B449" s="17" t="s">
        <v>805</v>
      </c>
      <c r="C449">
        <v>1</v>
      </c>
      <c r="D449" s="17" t="s">
        <v>17</v>
      </c>
      <c r="E449" s="17" t="s">
        <v>18</v>
      </c>
      <c r="F449" s="17" t="s">
        <v>19</v>
      </c>
      <c r="G449">
        <v>1</v>
      </c>
      <c r="H449">
        <v>65000</v>
      </c>
      <c r="I449">
        <v>35000</v>
      </c>
      <c r="J449">
        <v>0</v>
      </c>
      <c r="K449" s="17">
        <f>(Fact_Ventas_Detalle[[#This Row],[Cantidad]]*Fact_Ventas_Detalle[[#This Row],[Precio Unitario]])-Fact_Ventas_Detalle[[#This Row],[Descuento Linea]]</f>
        <v>65000</v>
      </c>
    </row>
    <row r="450" spans="1:11" x14ac:dyDescent="0.25">
      <c r="A450">
        <v>38</v>
      </c>
      <c r="B450" s="17" t="s">
        <v>153</v>
      </c>
      <c r="C450">
        <v>2</v>
      </c>
      <c r="D450" s="17" t="s">
        <v>31</v>
      </c>
      <c r="E450" s="17" t="s">
        <v>32</v>
      </c>
      <c r="F450" s="17" t="s">
        <v>33</v>
      </c>
      <c r="G450">
        <v>1</v>
      </c>
      <c r="H450">
        <v>25000</v>
      </c>
      <c r="I450">
        <v>11000</v>
      </c>
      <c r="J450">
        <v>0</v>
      </c>
      <c r="K450" s="17">
        <f>(Fact_Ventas_Detalle[[#This Row],[Cantidad]]*Fact_Ventas_Detalle[[#This Row],[Precio Unitario]])-Fact_Ventas_Detalle[[#This Row],[Descuento Linea]]</f>
        <v>25000</v>
      </c>
    </row>
    <row r="451" spans="1:11" x14ac:dyDescent="0.25">
      <c r="A451">
        <v>38</v>
      </c>
      <c r="B451" s="17" t="s">
        <v>149</v>
      </c>
      <c r="C451">
        <v>3</v>
      </c>
      <c r="D451" s="17" t="s">
        <v>17</v>
      </c>
      <c r="E451" s="17" t="s">
        <v>18</v>
      </c>
      <c r="F451" s="17" t="s">
        <v>19</v>
      </c>
      <c r="G451">
        <v>3</v>
      </c>
      <c r="H451">
        <v>65000</v>
      </c>
      <c r="I451">
        <v>35000</v>
      </c>
      <c r="J451">
        <v>0</v>
      </c>
      <c r="K451" s="17">
        <f>(Fact_Ventas_Detalle[[#This Row],[Cantidad]]*Fact_Ventas_Detalle[[#This Row],[Precio Unitario]])-Fact_Ventas_Detalle[[#This Row],[Descuento Linea]]</f>
        <v>195000</v>
      </c>
    </row>
    <row r="452" spans="1:11" x14ac:dyDescent="0.25">
      <c r="A452">
        <v>38</v>
      </c>
      <c r="B452" s="17" t="s">
        <v>141</v>
      </c>
      <c r="C452">
        <v>4</v>
      </c>
      <c r="D452" s="17" t="s">
        <v>37</v>
      </c>
      <c r="E452" s="17" t="s">
        <v>38</v>
      </c>
      <c r="F452" s="17" t="s">
        <v>33</v>
      </c>
      <c r="G452">
        <v>2</v>
      </c>
      <c r="H452">
        <v>45000</v>
      </c>
      <c r="I452">
        <v>22000</v>
      </c>
      <c r="J452">
        <v>9000</v>
      </c>
      <c r="K452" s="17">
        <f>(Fact_Ventas_Detalle[[#This Row],[Cantidad]]*Fact_Ventas_Detalle[[#This Row],[Precio Unitario]])-Fact_Ventas_Detalle[[#This Row],[Descuento Linea]]</f>
        <v>81000</v>
      </c>
    </row>
    <row r="453" spans="1:11" x14ac:dyDescent="0.25">
      <c r="A453">
        <v>38</v>
      </c>
      <c r="B453" s="17" t="s">
        <v>470</v>
      </c>
      <c r="C453">
        <v>3</v>
      </c>
      <c r="D453" s="17" t="s">
        <v>42</v>
      </c>
      <c r="E453" s="17" t="s">
        <v>43</v>
      </c>
      <c r="F453" s="17" t="s">
        <v>29</v>
      </c>
      <c r="G453">
        <v>2</v>
      </c>
      <c r="H453">
        <v>185000</v>
      </c>
      <c r="I453">
        <v>115000</v>
      </c>
      <c r="J453">
        <v>18500</v>
      </c>
      <c r="K453" s="17">
        <f>(Fact_Ventas_Detalle[[#This Row],[Cantidad]]*Fact_Ventas_Detalle[[#This Row],[Precio Unitario]])-Fact_Ventas_Detalle[[#This Row],[Descuento Linea]]</f>
        <v>351500</v>
      </c>
    </row>
    <row r="454" spans="1:11" x14ac:dyDescent="0.25">
      <c r="A454">
        <v>38</v>
      </c>
      <c r="B454" s="17" t="s">
        <v>150</v>
      </c>
      <c r="C454">
        <v>2</v>
      </c>
      <c r="D454" s="17" t="s">
        <v>31</v>
      </c>
      <c r="E454" s="17" t="s">
        <v>32</v>
      </c>
      <c r="F454" s="17" t="s">
        <v>33</v>
      </c>
      <c r="G454">
        <v>1</v>
      </c>
      <c r="H454">
        <v>25000</v>
      </c>
      <c r="I454">
        <v>11000</v>
      </c>
      <c r="J454">
        <v>1250</v>
      </c>
      <c r="K454" s="17">
        <f>(Fact_Ventas_Detalle[[#This Row],[Cantidad]]*Fact_Ventas_Detalle[[#This Row],[Precio Unitario]])-Fact_Ventas_Detalle[[#This Row],[Descuento Linea]]</f>
        <v>23750</v>
      </c>
    </row>
    <row r="455" spans="1:11" x14ac:dyDescent="0.25">
      <c r="A455">
        <v>38</v>
      </c>
      <c r="B455" s="17" t="s">
        <v>152</v>
      </c>
      <c r="C455">
        <v>2</v>
      </c>
      <c r="D455" s="17" t="s">
        <v>37</v>
      </c>
      <c r="E455" s="17" t="s">
        <v>38</v>
      </c>
      <c r="F455" s="17" t="s">
        <v>33</v>
      </c>
      <c r="G455">
        <v>1</v>
      </c>
      <c r="H455">
        <v>45000</v>
      </c>
      <c r="I455">
        <v>22000</v>
      </c>
      <c r="J455">
        <v>4500</v>
      </c>
      <c r="K455" s="17">
        <f>(Fact_Ventas_Detalle[[#This Row],[Cantidad]]*Fact_Ventas_Detalle[[#This Row],[Precio Unitario]])-Fact_Ventas_Detalle[[#This Row],[Descuento Linea]]</f>
        <v>40500</v>
      </c>
    </row>
    <row r="456" spans="1:11" x14ac:dyDescent="0.25">
      <c r="A456">
        <v>38</v>
      </c>
      <c r="B456" s="17" t="s">
        <v>450</v>
      </c>
      <c r="C456">
        <v>1</v>
      </c>
      <c r="D456" s="17" t="s">
        <v>17</v>
      </c>
      <c r="E456" s="17" t="s">
        <v>18</v>
      </c>
      <c r="F456" s="17" t="s">
        <v>19</v>
      </c>
      <c r="G456">
        <v>3</v>
      </c>
      <c r="H456">
        <v>65000</v>
      </c>
      <c r="I456">
        <v>35000</v>
      </c>
      <c r="J456">
        <v>19500</v>
      </c>
      <c r="K456" s="17">
        <f>(Fact_Ventas_Detalle[[#This Row],[Cantidad]]*Fact_Ventas_Detalle[[#This Row],[Precio Unitario]])-Fact_Ventas_Detalle[[#This Row],[Descuento Linea]]</f>
        <v>175500</v>
      </c>
    </row>
    <row r="457" spans="1:11" x14ac:dyDescent="0.25">
      <c r="A457">
        <v>38</v>
      </c>
      <c r="B457" s="17" t="s">
        <v>801</v>
      </c>
      <c r="C457">
        <v>1</v>
      </c>
      <c r="D457" s="17" t="s">
        <v>27</v>
      </c>
      <c r="E457" s="17" t="s">
        <v>28</v>
      </c>
      <c r="F457" s="17" t="s">
        <v>29</v>
      </c>
      <c r="G457">
        <v>1</v>
      </c>
      <c r="H457">
        <v>240000</v>
      </c>
      <c r="I457">
        <v>150000</v>
      </c>
      <c r="J457">
        <v>24000</v>
      </c>
      <c r="K457" s="17">
        <f>(Fact_Ventas_Detalle[[#This Row],[Cantidad]]*Fact_Ventas_Detalle[[#This Row],[Precio Unitario]])-Fact_Ventas_Detalle[[#This Row],[Descuento Linea]]</f>
        <v>216000</v>
      </c>
    </row>
    <row r="458" spans="1:11" x14ac:dyDescent="0.25">
      <c r="A458">
        <v>39</v>
      </c>
      <c r="B458" s="17" t="s">
        <v>158</v>
      </c>
      <c r="C458">
        <v>1</v>
      </c>
      <c r="D458" s="17" t="s">
        <v>24</v>
      </c>
      <c r="E458" s="17" t="s">
        <v>25</v>
      </c>
      <c r="F458" s="17" t="s">
        <v>14</v>
      </c>
      <c r="G458">
        <v>1</v>
      </c>
      <c r="H458">
        <v>850000</v>
      </c>
      <c r="I458">
        <v>620000</v>
      </c>
      <c r="J458">
        <v>0</v>
      </c>
      <c r="K458" s="17">
        <f>(Fact_Ventas_Detalle[[#This Row],[Cantidad]]*Fact_Ventas_Detalle[[#This Row],[Precio Unitario]])-Fact_Ventas_Detalle[[#This Row],[Descuento Linea]]</f>
        <v>850000</v>
      </c>
    </row>
    <row r="459" spans="1:11" x14ac:dyDescent="0.25">
      <c r="A459">
        <v>39</v>
      </c>
      <c r="B459" s="17" t="s">
        <v>159</v>
      </c>
      <c r="C459">
        <v>1</v>
      </c>
      <c r="D459" s="17" t="s">
        <v>31</v>
      </c>
      <c r="E459" s="17" t="s">
        <v>32</v>
      </c>
      <c r="F459" s="17" t="s">
        <v>33</v>
      </c>
      <c r="G459">
        <v>1</v>
      </c>
      <c r="H459">
        <v>25000</v>
      </c>
      <c r="I459">
        <v>11000</v>
      </c>
      <c r="J459">
        <v>0</v>
      </c>
      <c r="K459" s="17">
        <f>(Fact_Ventas_Detalle[[#This Row],[Cantidad]]*Fact_Ventas_Detalle[[#This Row],[Precio Unitario]])-Fact_Ventas_Detalle[[#This Row],[Descuento Linea]]</f>
        <v>25000</v>
      </c>
    </row>
    <row r="460" spans="1:11" x14ac:dyDescent="0.25">
      <c r="A460">
        <v>39</v>
      </c>
      <c r="B460" s="17" t="s">
        <v>156</v>
      </c>
      <c r="C460">
        <v>2</v>
      </c>
      <c r="D460" s="17" t="s">
        <v>12</v>
      </c>
      <c r="E460" s="17" t="s">
        <v>13</v>
      </c>
      <c r="F460" s="17" t="s">
        <v>14</v>
      </c>
      <c r="G460">
        <v>1</v>
      </c>
      <c r="H460">
        <v>280000</v>
      </c>
      <c r="I460">
        <v>190000</v>
      </c>
      <c r="J460">
        <v>0</v>
      </c>
      <c r="K460" s="17">
        <f>(Fact_Ventas_Detalle[[#This Row],[Cantidad]]*Fact_Ventas_Detalle[[#This Row],[Precio Unitario]])-Fact_Ventas_Detalle[[#This Row],[Descuento Linea]]</f>
        <v>280000</v>
      </c>
    </row>
    <row r="461" spans="1:11" x14ac:dyDescent="0.25">
      <c r="A461">
        <v>39</v>
      </c>
      <c r="B461" s="17" t="s">
        <v>801</v>
      </c>
      <c r="C461">
        <v>2</v>
      </c>
      <c r="D461" s="17" t="s">
        <v>24</v>
      </c>
      <c r="E461" s="17" t="s">
        <v>25</v>
      </c>
      <c r="F461" s="17" t="s">
        <v>14</v>
      </c>
      <c r="G461">
        <v>3</v>
      </c>
      <c r="H461">
        <v>850000</v>
      </c>
      <c r="I461">
        <v>620000</v>
      </c>
      <c r="J461">
        <v>0</v>
      </c>
      <c r="K461" s="17">
        <f>(Fact_Ventas_Detalle[[#This Row],[Cantidad]]*Fact_Ventas_Detalle[[#This Row],[Precio Unitario]])-Fact_Ventas_Detalle[[#This Row],[Descuento Linea]]</f>
        <v>2550000</v>
      </c>
    </row>
    <row r="462" spans="1:11" x14ac:dyDescent="0.25">
      <c r="A462">
        <v>39</v>
      </c>
      <c r="B462" s="17" t="s">
        <v>153</v>
      </c>
      <c r="C462">
        <v>3</v>
      </c>
      <c r="D462" s="17" t="s">
        <v>42</v>
      </c>
      <c r="E462" s="17" t="s">
        <v>43</v>
      </c>
      <c r="F462" s="17" t="s">
        <v>29</v>
      </c>
      <c r="G462">
        <v>1</v>
      </c>
      <c r="H462">
        <v>185000</v>
      </c>
      <c r="I462">
        <v>115000</v>
      </c>
      <c r="J462">
        <v>0</v>
      </c>
      <c r="K462" s="17">
        <f>(Fact_Ventas_Detalle[[#This Row],[Cantidad]]*Fact_Ventas_Detalle[[#This Row],[Precio Unitario]])-Fact_Ventas_Detalle[[#This Row],[Descuento Linea]]</f>
        <v>185000</v>
      </c>
    </row>
    <row r="463" spans="1:11" x14ac:dyDescent="0.25">
      <c r="A463">
        <v>39</v>
      </c>
      <c r="B463" s="17" t="s">
        <v>470</v>
      </c>
      <c r="C463">
        <v>4</v>
      </c>
      <c r="D463" s="17" t="s">
        <v>12</v>
      </c>
      <c r="E463" s="17" t="s">
        <v>13</v>
      </c>
      <c r="F463" s="17" t="s">
        <v>14</v>
      </c>
      <c r="G463">
        <v>3</v>
      </c>
      <c r="H463">
        <v>280000</v>
      </c>
      <c r="I463">
        <v>190000</v>
      </c>
      <c r="J463">
        <v>0</v>
      </c>
      <c r="K463" s="17">
        <f>(Fact_Ventas_Detalle[[#This Row],[Cantidad]]*Fact_Ventas_Detalle[[#This Row],[Precio Unitario]])-Fact_Ventas_Detalle[[#This Row],[Descuento Linea]]</f>
        <v>840000</v>
      </c>
    </row>
    <row r="464" spans="1:11" x14ac:dyDescent="0.25">
      <c r="A464">
        <v>39</v>
      </c>
      <c r="B464" s="17" t="s">
        <v>149</v>
      </c>
      <c r="C464">
        <v>4</v>
      </c>
      <c r="D464" s="17" t="s">
        <v>12</v>
      </c>
      <c r="E464" s="17" t="s">
        <v>13</v>
      </c>
      <c r="F464" s="17" t="s">
        <v>14</v>
      </c>
      <c r="G464">
        <v>3</v>
      </c>
      <c r="H464">
        <v>280000</v>
      </c>
      <c r="I464">
        <v>190000</v>
      </c>
      <c r="J464">
        <v>84000</v>
      </c>
      <c r="K464" s="17">
        <f>(Fact_Ventas_Detalle[[#This Row],[Cantidad]]*Fact_Ventas_Detalle[[#This Row],[Precio Unitario]])-Fact_Ventas_Detalle[[#This Row],[Descuento Linea]]</f>
        <v>756000</v>
      </c>
    </row>
    <row r="465" spans="1:11" x14ac:dyDescent="0.25">
      <c r="A465">
        <v>39</v>
      </c>
      <c r="B465" s="17" t="s">
        <v>152</v>
      </c>
      <c r="C465">
        <v>3</v>
      </c>
      <c r="D465" s="17" t="s">
        <v>12</v>
      </c>
      <c r="E465" s="17" t="s">
        <v>13</v>
      </c>
      <c r="F465" s="17" t="s">
        <v>14</v>
      </c>
      <c r="G465">
        <v>2</v>
      </c>
      <c r="H465">
        <v>280000</v>
      </c>
      <c r="I465">
        <v>190000</v>
      </c>
      <c r="J465">
        <v>28000</v>
      </c>
      <c r="K465" s="17">
        <f>(Fact_Ventas_Detalle[[#This Row],[Cantidad]]*Fact_Ventas_Detalle[[#This Row],[Precio Unitario]])-Fact_Ventas_Detalle[[#This Row],[Descuento Linea]]</f>
        <v>532000</v>
      </c>
    </row>
    <row r="466" spans="1:11" x14ac:dyDescent="0.25">
      <c r="A466">
        <v>39</v>
      </c>
      <c r="B466" s="17" t="s">
        <v>805</v>
      </c>
      <c r="C466">
        <v>2</v>
      </c>
      <c r="D466" s="17" t="s">
        <v>17</v>
      </c>
      <c r="E466" s="17" t="s">
        <v>18</v>
      </c>
      <c r="F466" s="17" t="s">
        <v>19</v>
      </c>
      <c r="G466">
        <v>3</v>
      </c>
      <c r="H466">
        <v>65000</v>
      </c>
      <c r="I466">
        <v>35000</v>
      </c>
      <c r="J466">
        <v>9750</v>
      </c>
      <c r="K466" s="17">
        <f>(Fact_Ventas_Detalle[[#This Row],[Cantidad]]*Fact_Ventas_Detalle[[#This Row],[Precio Unitario]])-Fact_Ventas_Detalle[[#This Row],[Descuento Linea]]</f>
        <v>185250</v>
      </c>
    </row>
    <row r="467" spans="1:11" x14ac:dyDescent="0.25">
      <c r="A467">
        <v>39</v>
      </c>
      <c r="B467" s="17" t="s">
        <v>450</v>
      </c>
      <c r="C467">
        <v>2</v>
      </c>
      <c r="D467" s="17" t="s">
        <v>17</v>
      </c>
      <c r="E467" s="17" t="s">
        <v>18</v>
      </c>
      <c r="F467" s="17" t="s">
        <v>19</v>
      </c>
      <c r="G467">
        <v>1</v>
      </c>
      <c r="H467">
        <v>65000</v>
      </c>
      <c r="I467">
        <v>35000</v>
      </c>
      <c r="J467">
        <v>3250</v>
      </c>
      <c r="K467" s="17">
        <f>(Fact_Ventas_Detalle[[#This Row],[Cantidad]]*Fact_Ventas_Detalle[[#This Row],[Precio Unitario]])-Fact_Ventas_Detalle[[#This Row],[Descuento Linea]]</f>
        <v>61750</v>
      </c>
    </row>
    <row r="468" spans="1:11" x14ac:dyDescent="0.25">
      <c r="A468">
        <v>39</v>
      </c>
      <c r="B468" s="17" t="s">
        <v>161</v>
      </c>
      <c r="C468">
        <v>1</v>
      </c>
      <c r="D468" s="17" t="s">
        <v>42</v>
      </c>
      <c r="E468" s="17" t="s">
        <v>43</v>
      </c>
      <c r="F468" s="17" t="s">
        <v>29</v>
      </c>
      <c r="G468">
        <v>2</v>
      </c>
      <c r="H468">
        <v>185000</v>
      </c>
      <c r="I468">
        <v>115000</v>
      </c>
      <c r="J468">
        <v>37000</v>
      </c>
      <c r="K468" s="17">
        <f>(Fact_Ventas_Detalle[[#This Row],[Cantidad]]*Fact_Ventas_Detalle[[#This Row],[Precio Unitario]])-Fact_Ventas_Detalle[[#This Row],[Descuento Linea]]</f>
        <v>333000</v>
      </c>
    </row>
    <row r="469" spans="1:11" x14ac:dyDescent="0.25">
      <c r="A469">
        <v>39</v>
      </c>
      <c r="B469" s="17" t="s">
        <v>160</v>
      </c>
      <c r="C469">
        <v>1</v>
      </c>
      <c r="D469" s="17" t="s">
        <v>31</v>
      </c>
      <c r="E469" s="17" t="s">
        <v>32</v>
      </c>
      <c r="F469" s="17" t="s">
        <v>33</v>
      </c>
      <c r="G469">
        <v>1</v>
      </c>
      <c r="H469">
        <v>25000</v>
      </c>
      <c r="I469">
        <v>11000</v>
      </c>
      <c r="J469">
        <v>1250</v>
      </c>
      <c r="K469" s="17">
        <f>(Fact_Ventas_Detalle[[#This Row],[Cantidad]]*Fact_Ventas_Detalle[[#This Row],[Precio Unitario]])-Fact_Ventas_Detalle[[#This Row],[Descuento Linea]]</f>
        <v>23750</v>
      </c>
    </row>
    <row r="470" spans="1:11" x14ac:dyDescent="0.25">
      <c r="A470">
        <v>40</v>
      </c>
      <c r="B470" s="17" t="s">
        <v>162</v>
      </c>
      <c r="C470">
        <v>1</v>
      </c>
      <c r="D470" s="17" t="s">
        <v>27</v>
      </c>
      <c r="E470" s="17" t="s">
        <v>28</v>
      </c>
      <c r="F470" s="17" t="s">
        <v>29</v>
      </c>
      <c r="G470">
        <v>3</v>
      </c>
      <c r="H470">
        <v>240000</v>
      </c>
      <c r="I470">
        <v>150000</v>
      </c>
      <c r="J470">
        <v>0</v>
      </c>
      <c r="K470" s="17">
        <f>(Fact_Ventas_Detalle[[#This Row],[Cantidad]]*Fact_Ventas_Detalle[[#This Row],[Precio Unitario]])-Fact_Ventas_Detalle[[#This Row],[Descuento Linea]]</f>
        <v>720000</v>
      </c>
    </row>
    <row r="471" spans="1:11" x14ac:dyDescent="0.25">
      <c r="A471">
        <v>40</v>
      </c>
      <c r="B471" s="17" t="s">
        <v>163</v>
      </c>
      <c r="C471">
        <v>1</v>
      </c>
      <c r="D471" s="17" t="s">
        <v>39</v>
      </c>
      <c r="E471" s="17" t="s">
        <v>40</v>
      </c>
      <c r="F471" s="17" t="s">
        <v>14</v>
      </c>
      <c r="G471">
        <v>3</v>
      </c>
      <c r="H471">
        <v>75000</v>
      </c>
      <c r="I471">
        <v>42000</v>
      </c>
      <c r="J471">
        <v>0</v>
      </c>
      <c r="K471" s="17">
        <f>(Fact_Ventas_Detalle[[#This Row],[Cantidad]]*Fact_Ventas_Detalle[[#This Row],[Precio Unitario]])-Fact_Ventas_Detalle[[#This Row],[Descuento Linea]]</f>
        <v>225000</v>
      </c>
    </row>
    <row r="472" spans="1:11" x14ac:dyDescent="0.25">
      <c r="A472">
        <v>40</v>
      </c>
      <c r="B472" s="17" t="s">
        <v>164</v>
      </c>
      <c r="C472">
        <v>1</v>
      </c>
      <c r="D472" s="17" t="s">
        <v>37</v>
      </c>
      <c r="E472" s="17" t="s">
        <v>38</v>
      </c>
      <c r="F472" s="17" t="s">
        <v>33</v>
      </c>
      <c r="G472">
        <v>2</v>
      </c>
      <c r="H472">
        <v>45000</v>
      </c>
      <c r="I472">
        <v>22000</v>
      </c>
      <c r="J472">
        <v>0</v>
      </c>
      <c r="K472" s="17">
        <f>(Fact_Ventas_Detalle[[#This Row],[Cantidad]]*Fact_Ventas_Detalle[[#This Row],[Precio Unitario]])-Fact_Ventas_Detalle[[#This Row],[Descuento Linea]]</f>
        <v>90000</v>
      </c>
    </row>
    <row r="473" spans="1:11" x14ac:dyDescent="0.25">
      <c r="A473">
        <v>40</v>
      </c>
      <c r="B473" s="17" t="s">
        <v>165</v>
      </c>
      <c r="C473">
        <v>1</v>
      </c>
      <c r="D473" s="17" t="s">
        <v>17</v>
      </c>
      <c r="E473" s="17" t="s">
        <v>18</v>
      </c>
      <c r="F473" s="17" t="s">
        <v>19</v>
      </c>
      <c r="G473">
        <v>2</v>
      </c>
      <c r="H473">
        <v>65000</v>
      </c>
      <c r="I473">
        <v>35000</v>
      </c>
      <c r="J473">
        <v>0</v>
      </c>
      <c r="K473" s="17">
        <f>(Fact_Ventas_Detalle[[#This Row],[Cantidad]]*Fact_Ventas_Detalle[[#This Row],[Precio Unitario]])-Fact_Ventas_Detalle[[#This Row],[Descuento Linea]]</f>
        <v>130000</v>
      </c>
    </row>
    <row r="474" spans="1:11" x14ac:dyDescent="0.25">
      <c r="A474">
        <v>40</v>
      </c>
      <c r="B474" s="17" t="s">
        <v>688</v>
      </c>
      <c r="C474">
        <v>1</v>
      </c>
      <c r="D474" s="17" t="s">
        <v>12</v>
      </c>
      <c r="E474" s="17" t="s">
        <v>13</v>
      </c>
      <c r="F474" s="17" t="s">
        <v>14</v>
      </c>
      <c r="G474">
        <v>1</v>
      </c>
      <c r="H474">
        <v>280000</v>
      </c>
      <c r="I474">
        <v>190000</v>
      </c>
      <c r="J474">
        <v>0</v>
      </c>
      <c r="K474" s="17">
        <f>(Fact_Ventas_Detalle[[#This Row],[Cantidad]]*Fact_Ventas_Detalle[[#This Row],[Precio Unitario]])-Fact_Ventas_Detalle[[#This Row],[Descuento Linea]]</f>
        <v>280000</v>
      </c>
    </row>
    <row r="475" spans="1:11" x14ac:dyDescent="0.25">
      <c r="A475">
        <v>40</v>
      </c>
      <c r="B475" s="17" t="s">
        <v>159</v>
      </c>
      <c r="C475">
        <v>2</v>
      </c>
      <c r="D475" s="17" t="s">
        <v>31</v>
      </c>
      <c r="E475" s="17" t="s">
        <v>32</v>
      </c>
      <c r="F475" s="17" t="s">
        <v>33</v>
      </c>
      <c r="G475">
        <v>3</v>
      </c>
      <c r="H475">
        <v>25000</v>
      </c>
      <c r="I475">
        <v>11000</v>
      </c>
      <c r="J475">
        <v>0</v>
      </c>
      <c r="K475" s="17">
        <f>(Fact_Ventas_Detalle[[#This Row],[Cantidad]]*Fact_Ventas_Detalle[[#This Row],[Precio Unitario]])-Fact_Ventas_Detalle[[#This Row],[Descuento Linea]]</f>
        <v>75000</v>
      </c>
    </row>
    <row r="476" spans="1:11" x14ac:dyDescent="0.25">
      <c r="A476">
        <v>40</v>
      </c>
      <c r="B476" s="17" t="s">
        <v>805</v>
      </c>
      <c r="C476">
        <v>3</v>
      </c>
      <c r="D476" s="17" t="s">
        <v>42</v>
      </c>
      <c r="E476" s="17" t="s">
        <v>43</v>
      </c>
      <c r="F476" s="17" t="s">
        <v>29</v>
      </c>
      <c r="G476">
        <v>2</v>
      </c>
      <c r="H476">
        <v>185000</v>
      </c>
      <c r="I476">
        <v>115000</v>
      </c>
      <c r="J476">
        <v>0</v>
      </c>
      <c r="K476" s="17">
        <f>(Fact_Ventas_Detalle[[#This Row],[Cantidad]]*Fact_Ventas_Detalle[[#This Row],[Precio Unitario]])-Fact_Ventas_Detalle[[#This Row],[Descuento Linea]]</f>
        <v>370000</v>
      </c>
    </row>
    <row r="477" spans="1:11" x14ac:dyDescent="0.25">
      <c r="A477">
        <v>40</v>
      </c>
      <c r="B477" s="17" t="s">
        <v>153</v>
      </c>
      <c r="C477">
        <v>4</v>
      </c>
      <c r="D477" s="17" t="s">
        <v>39</v>
      </c>
      <c r="E477" s="17" t="s">
        <v>40</v>
      </c>
      <c r="F477" s="17" t="s">
        <v>14</v>
      </c>
      <c r="G477">
        <v>3</v>
      </c>
      <c r="H477">
        <v>75000</v>
      </c>
      <c r="I477">
        <v>42000</v>
      </c>
      <c r="J477">
        <v>0</v>
      </c>
      <c r="K477" s="17">
        <f>(Fact_Ventas_Detalle[[#This Row],[Cantidad]]*Fact_Ventas_Detalle[[#This Row],[Precio Unitario]])-Fact_Ventas_Detalle[[#This Row],[Descuento Linea]]</f>
        <v>225000</v>
      </c>
    </row>
    <row r="478" spans="1:11" x14ac:dyDescent="0.25">
      <c r="A478">
        <v>40</v>
      </c>
      <c r="B478" s="17" t="s">
        <v>161</v>
      </c>
      <c r="C478">
        <v>2</v>
      </c>
      <c r="D478" s="17" t="s">
        <v>17</v>
      </c>
      <c r="E478" s="17" t="s">
        <v>18</v>
      </c>
      <c r="F478" s="17" t="s">
        <v>19</v>
      </c>
      <c r="G478">
        <v>1</v>
      </c>
      <c r="H478">
        <v>65000</v>
      </c>
      <c r="I478">
        <v>35000</v>
      </c>
      <c r="J478">
        <v>6500</v>
      </c>
      <c r="K478" s="17">
        <f>(Fact_Ventas_Detalle[[#This Row],[Cantidad]]*Fact_Ventas_Detalle[[#This Row],[Precio Unitario]])-Fact_Ventas_Detalle[[#This Row],[Descuento Linea]]</f>
        <v>58500</v>
      </c>
    </row>
    <row r="479" spans="1:11" x14ac:dyDescent="0.25">
      <c r="A479">
        <v>40</v>
      </c>
      <c r="B479" s="17" t="s">
        <v>720</v>
      </c>
      <c r="C479">
        <v>1</v>
      </c>
      <c r="D479" s="17" t="s">
        <v>12</v>
      </c>
      <c r="E479" s="17" t="s">
        <v>13</v>
      </c>
      <c r="F479" s="17" t="s">
        <v>14</v>
      </c>
      <c r="G479">
        <v>2</v>
      </c>
      <c r="H479">
        <v>280000</v>
      </c>
      <c r="I479">
        <v>190000</v>
      </c>
      <c r="J479">
        <v>56000</v>
      </c>
      <c r="K479" s="17">
        <f>(Fact_Ventas_Detalle[[#This Row],[Cantidad]]*Fact_Ventas_Detalle[[#This Row],[Precio Unitario]])-Fact_Ventas_Detalle[[#This Row],[Descuento Linea]]</f>
        <v>504000</v>
      </c>
    </row>
    <row r="480" spans="1:11" x14ac:dyDescent="0.25">
      <c r="A480">
        <v>40</v>
      </c>
      <c r="B480" s="17" t="s">
        <v>166</v>
      </c>
      <c r="C480">
        <v>1</v>
      </c>
      <c r="D480" s="17" t="s">
        <v>12</v>
      </c>
      <c r="E480" s="17" t="s">
        <v>13</v>
      </c>
      <c r="F480" s="17" t="s">
        <v>14</v>
      </c>
      <c r="G480">
        <v>3</v>
      </c>
      <c r="H480">
        <v>280000</v>
      </c>
      <c r="I480">
        <v>190000</v>
      </c>
      <c r="J480">
        <v>42000</v>
      </c>
      <c r="K480" s="17">
        <f>(Fact_Ventas_Detalle[[#This Row],[Cantidad]]*Fact_Ventas_Detalle[[#This Row],[Precio Unitario]])-Fact_Ventas_Detalle[[#This Row],[Descuento Linea]]</f>
        <v>798000</v>
      </c>
    </row>
    <row r="481" spans="1:11" x14ac:dyDescent="0.25">
      <c r="A481">
        <v>40</v>
      </c>
      <c r="B481" s="17" t="s">
        <v>831</v>
      </c>
      <c r="C481">
        <v>1</v>
      </c>
      <c r="D481" s="17" t="s">
        <v>31</v>
      </c>
      <c r="E481" s="17" t="s">
        <v>32</v>
      </c>
      <c r="F481" s="17" t="s">
        <v>33</v>
      </c>
      <c r="G481">
        <v>1</v>
      </c>
      <c r="H481">
        <v>25000</v>
      </c>
      <c r="I481">
        <v>11000</v>
      </c>
      <c r="J481">
        <v>1250</v>
      </c>
      <c r="K481" s="17">
        <f>(Fact_Ventas_Detalle[[#This Row],[Cantidad]]*Fact_Ventas_Detalle[[#This Row],[Precio Unitario]])-Fact_Ventas_Detalle[[#This Row],[Descuento Linea]]</f>
        <v>23750</v>
      </c>
    </row>
    <row r="482" spans="1:11" x14ac:dyDescent="0.25">
      <c r="A482">
        <v>41</v>
      </c>
      <c r="B482" s="17" t="s">
        <v>167</v>
      </c>
      <c r="C482">
        <v>1</v>
      </c>
      <c r="D482" s="17" t="s">
        <v>31</v>
      </c>
      <c r="E482" s="17" t="s">
        <v>32</v>
      </c>
      <c r="F482" s="17" t="s">
        <v>33</v>
      </c>
      <c r="G482">
        <v>3</v>
      </c>
      <c r="H482">
        <v>25000</v>
      </c>
      <c r="I482">
        <v>11000</v>
      </c>
      <c r="J482">
        <v>0</v>
      </c>
      <c r="K482" s="17">
        <f>(Fact_Ventas_Detalle[[#This Row],[Cantidad]]*Fact_Ventas_Detalle[[#This Row],[Precio Unitario]])-Fact_Ventas_Detalle[[#This Row],[Descuento Linea]]</f>
        <v>75000</v>
      </c>
    </row>
    <row r="483" spans="1:11" x14ac:dyDescent="0.25">
      <c r="A483">
        <v>41</v>
      </c>
      <c r="B483" s="17" t="s">
        <v>412</v>
      </c>
      <c r="C483">
        <v>1</v>
      </c>
      <c r="D483" s="17" t="s">
        <v>17</v>
      </c>
      <c r="E483" s="17" t="s">
        <v>18</v>
      </c>
      <c r="F483" s="17" t="s">
        <v>19</v>
      </c>
      <c r="G483">
        <v>3</v>
      </c>
      <c r="H483">
        <v>65000</v>
      </c>
      <c r="I483">
        <v>35000</v>
      </c>
      <c r="J483">
        <v>0</v>
      </c>
      <c r="K483" s="17">
        <f>(Fact_Ventas_Detalle[[#This Row],[Cantidad]]*Fact_Ventas_Detalle[[#This Row],[Precio Unitario]])-Fact_Ventas_Detalle[[#This Row],[Descuento Linea]]</f>
        <v>195000</v>
      </c>
    </row>
    <row r="484" spans="1:11" x14ac:dyDescent="0.25">
      <c r="A484">
        <v>41</v>
      </c>
      <c r="B484" s="17" t="s">
        <v>164</v>
      </c>
      <c r="C484">
        <v>2</v>
      </c>
      <c r="D484" s="17" t="s">
        <v>37</v>
      </c>
      <c r="E484" s="17" t="s">
        <v>38</v>
      </c>
      <c r="F484" s="17" t="s">
        <v>33</v>
      </c>
      <c r="G484">
        <v>1</v>
      </c>
      <c r="H484">
        <v>45000</v>
      </c>
      <c r="I484">
        <v>22000</v>
      </c>
      <c r="J484">
        <v>0</v>
      </c>
      <c r="K484" s="17">
        <f>(Fact_Ventas_Detalle[[#This Row],[Cantidad]]*Fact_Ventas_Detalle[[#This Row],[Precio Unitario]])-Fact_Ventas_Detalle[[#This Row],[Descuento Linea]]</f>
        <v>45000</v>
      </c>
    </row>
    <row r="485" spans="1:11" x14ac:dyDescent="0.25">
      <c r="A485">
        <v>41</v>
      </c>
      <c r="B485" s="17" t="s">
        <v>165</v>
      </c>
      <c r="C485">
        <v>2</v>
      </c>
      <c r="D485" s="17" t="s">
        <v>12</v>
      </c>
      <c r="E485" s="17" t="s">
        <v>13</v>
      </c>
      <c r="F485" s="17" t="s">
        <v>14</v>
      </c>
      <c r="G485">
        <v>3</v>
      </c>
      <c r="H485">
        <v>280000</v>
      </c>
      <c r="I485">
        <v>190000</v>
      </c>
      <c r="J485">
        <v>0</v>
      </c>
      <c r="K485" s="17">
        <f>(Fact_Ventas_Detalle[[#This Row],[Cantidad]]*Fact_Ventas_Detalle[[#This Row],[Precio Unitario]])-Fact_Ventas_Detalle[[#This Row],[Descuento Linea]]</f>
        <v>840000</v>
      </c>
    </row>
    <row r="486" spans="1:11" x14ac:dyDescent="0.25">
      <c r="A486">
        <v>41</v>
      </c>
      <c r="B486" s="17" t="s">
        <v>720</v>
      </c>
      <c r="C486">
        <v>2</v>
      </c>
      <c r="D486" s="17" t="s">
        <v>27</v>
      </c>
      <c r="E486" s="17" t="s">
        <v>28</v>
      </c>
      <c r="F486" s="17" t="s">
        <v>29</v>
      </c>
      <c r="G486">
        <v>3</v>
      </c>
      <c r="H486">
        <v>240000</v>
      </c>
      <c r="I486">
        <v>150000</v>
      </c>
      <c r="J486">
        <v>0</v>
      </c>
      <c r="K486" s="17">
        <f>(Fact_Ventas_Detalle[[#This Row],[Cantidad]]*Fact_Ventas_Detalle[[#This Row],[Precio Unitario]])-Fact_Ventas_Detalle[[#This Row],[Descuento Linea]]</f>
        <v>720000</v>
      </c>
    </row>
    <row r="487" spans="1:11" x14ac:dyDescent="0.25">
      <c r="A487">
        <v>41</v>
      </c>
      <c r="B487" s="17" t="s">
        <v>831</v>
      </c>
      <c r="C487">
        <v>2</v>
      </c>
      <c r="D487" s="17" t="s">
        <v>12</v>
      </c>
      <c r="E487" s="17" t="s">
        <v>13</v>
      </c>
      <c r="F487" s="17" t="s">
        <v>14</v>
      </c>
      <c r="G487">
        <v>3</v>
      </c>
      <c r="H487">
        <v>280000</v>
      </c>
      <c r="I487">
        <v>190000</v>
      </c>
      <c r="J487">
        <v>0</v>
      </c>
      <c r="K487" s="17">
        <f>(Fact_Ventas_Detalle[[#This Row],[Cantidad]]*Fact_Ventas_Detalle[[#This Row],[Precio Unitario]])-Fact_Ventas_Detalle[[#This Row],[Descuento Linea]]</f>
        <v>840000</v>
      </c>
    </row>
    <row r="488" spans="1:11" x14ac:dyDescent="0.25">
      <c r="A488">
        <v>41</v>
      </c>
      <c r="B488" s="17" t="s">
        <v>161</v>
      </c>
      <c r="C488">
        <v>3</v>
      </c>
      <c r="D488" s="17" t="s">
        <v>27</v>
      </c>
      <c r="E488" s="17" t="s">
        <v>28</v>
      </c>
      <c r="F488" s="17" t="s">
        <v>29</v>
      </c>
      <c r="G488">
        <v>2</v>
      </c>
      <c r="H488">
        <v>240000</v>
      </c>
      <c r="I488">
        <v>150000</v>
      </c>
      <c r="J488">
        <v>0</v>
      </c>
      <c r="K488" s="17">
        <f>(Fact_Ventas_Detalle[[#This Row],[Cantidad]]*Fact_Ventas_Detalle[[#This Row],[Precio Unitario]])-Fact_Ventas_Detalle[[#This Row],[Descuento Linea]]</f>
        <v>480000</v>
      </c>
    </row>
    <row r="489" spans="1:11" x14ac:dyDescent="0.25">
      <c r="A489">
        <v>41</v>
      </c>
      <c r="B489" s="17" t="s">
        <v>805</v>
      </c>
      <c r="C489">
        <v>4</v>
      </c>
      <c r="D489" s="17" t="s">
        <v>17</v>
      </c>
      <c r="E489" s="17" t="s">
        <v>18</v>
      </c>
      <c r="F489" s="17" t="s">
        <v>19</v>
      </c>
      <c r="G489">
        <v>3</v>
      </c>
      <c r="H489">
        <v>65000</v>
      </c>
      <c r="I489">
        <v>35000</v>
      </c>
      <c r="J489">
        <v>0</v>
      </c>
      <c r="K489" s="17">
        <f>(Fact_Ventas_Detalle[[#This Row],[Cantidad]]*Fact_Ventas_Detalle[[#This Row],[Precio Unitario]])-Fact_Ventas_Detalle[[#This Row],[Descuento Linea]]</f>
        <v>195000</v>
      </c>
    </row>
    <row r="490" spans="1:11" x14ac:dyDescent="0.25">
      <c r="A490">
        <v>41</v>
      </c>
      <c r="B490" s="17" t="s">
        <v>159</v>
      </c>
      <c r="C490">
        <v>3</v>
      </c>
      <c r="D490" s="17" t="s">
        <v>12</v>
      </c>
      <c r="E490" s="17" t="s">
        <v>13</v>
      </c>
      <c r="F490" s="17" t="s">
        <v>14</v>
      </c>
      <c r="G490">
        <v>1</v>
      </c>
      <c r="H490">
        <v>280000</v>
      </c>
      <c r="I490">
        <v>190000</v>
      </c>
      <c r="J490">
        <v>28000</v>
      </c>
      <c r="K490" s="17">
        <f>(Fact_Ventas_Detalle[[#This Row],[Cantidad]]*Fact_Ventas_Detalle[[#This Row],[Precio Unitario]])-Fact_Ventas_Detalle[[#This Row],[Descuento Linea]]</f>
        <v>252000</v>
      </c>
    </row>
    <row r="491" spans="1:11" x14ac:dyDescent="0.25">
      <c r="A491">
        <v>41</v>
      </c>
      <c r="B491" s="17" t="s">
        <v>166</v>
      </c>
      <c r="C491">
        <v>2</v>
      </c>
      <c r="D491" s="17" t="s">
        <v>24</v>
      </c>
      <c r="E491" s="17" t="s">
        <v>25</v>
      </c>
      <c r="F491" s="17" t="s">
        <v>14</v>
      </c>
      <c r="G491">
        <v>2</v>
      </c>
      <c r="H491">
        <v>850000</v>
      </c>
      <c r="I491">
        <v>620000</v>
      </c>
      <c r="J491">
        <v>170000</v>
      </c>
      <c r="K491" s="17">
        <f>(Fact_Ventas_Detalle[[#This Row],[Cantidad]]*Fact_Ventas_Detalle[[#This Row],[Precio Unitario]])-Fact_Ventas_Detalle[[#This Row],[Descuento Linea]]</f>
        <v>1530000</v>
      </c>
    </row>
    <row r="492" spans="1:11" x14ac:dyDescent="0.25">
      <c r="A492">
        <v>41</v>
      </c>
      <c r="B492" s="17" t="s">
        <v>162</v>
      </c>
      <c r="C492">
        <v>2</v>
      </c>
      <c r="D492" s="17" t="s">
        <v>12</v>
      </c>
      <c r="E492" s="17" t="s">
        <v>13</v>
      </c>
      <c r="F492" s="17" t="s">
        <v>14</v>
      </c>
      <c r="G492">
        <v>2</v>
      </c>
      <c r="H492">
        <v>280000</v>
      </c>
      <c r="I492">
        <v>190000</v>
      </c>
      <c r="J492">
        <v>56000</v>
      </c>
      <c r="K492" s="17">
        <f>(Fact_Ventas_Detalle[[#This Row],[Cantidad]]*Fact_Ventas_Detalle[[#This Row],[Precio Unitario]])-Fact_Ventas_Detalle[[#This Row],[Descuento Linea]]</f>
        <v>504000</v>
      </c>
    </row>
    <row r="493" spans="1:11" x14ac:dyDescent="0.25">
      <c r="A493">
        <v>41</v>
      </c>
      <c r="B493" s="17" t="s">
        <v>163</v>
      </c>
      <c r="C493">
        <v>2</v>
      </c>
      <c r="D493" s="17" t="s">
        <v>12</v>
      </c>
      <c r="E493" s="17" t="s">
        <v>13</v>
      </c>
      <c r="F493" s="17" t="s">
        <v>14</v>
      </c>
      <c r="G493">
        <v>1</v>
      </c>
      <c r="H493">
        <v>280000</v>
      </c>
      <c r="I493">
        <v>190000</v>
      </c>
      <c r="J493">
        <v>14000</v>
      </c>
      <c r="K493" s="17">
        <f>(Fact_Ventas_Detalle[[#This Row],[Cantidad]]*Fact_Ventas_Detalle[[#This Row],[Precio Unitario]])-Fact_Ventas_Detalle[[#This Row],[Descuento Linea]]</f>
        <v>266000</v>
      </c>
    </row>
    <row r="494" spans="1:11" x14ac:dyDescent="0.25">
      <c r="A494">
        <v>42</v>
      </c>
      <c r="B494" s="17" t="s">
        <v>169</v>
      </c>
      <c r="C494">
        <v>1</v>
      </c>
      <c r="D494" s="17" t="s">
        <v>24</v>
      </c>
      <c r="E494" s="17" t="s">
        <v>25</v>
      </c>
      <c r="F494" s="17" t="s">
        <v>14</v>
      </c>
      <c r="G494">
        <v>3</v>
      </c>
      <c r="H494">
        <v>850000</v>
      </c>
      <c r="I494">
        <v>620000</v>
      </c>
      <c r="J494">
        <v>0</v>
      </c>
      <c r="K494" s="17">
        <f>(Fact_Ventas_Detalle[[#This Row],[Cantidad]]*Fact_Ventas_Detalle[[#This Row],[Precio Unitario]])-Fact_Ventas_Detalle[[#This Row],[Descuento Linea]]</f>
        <v>2550000</v>
      </c>
    </row>
    <row r="495" spans="1:11" x14ac:dyDescent="0.25">
      <c r="A495">
        <v>42</v>
      </c>
      <c r="B495" s="17" t="s">
        <v>168</v>
      </c>
      <c r="C495">
        <v>1</v>
      </c>
      <c r="D495" s="17" t="s">
        <v>17</v>
      </c>
      <c r="E495" s="17" t="s">
        <v>18</v>
      </c>
      <c r="F495" s="17" t="s">
        <v>19</v>
      </c>
      <c r="G495">
        <v>2</v>
      </c>
      <c r="H495">
        <v>65000</v>
      </c>
      <c r="I495">
        <v>35000</v>
      </c>
      <c r="J495">
        <v>0</v>
      </c>
      <c r="K495" s="17">
        <f>(Fact_Ventas_Detalle[[#This Row],[Cantidad]]*Fact_Ventas_Detalle[[#This Row],[Precio Unitario]])-Fact_Ventas_Detalle[[#This Row],[Descuento Linea]]</f>
        <v>130000</v>
      </c>
    </row>
    <row r="496" spans="1:11" x14ac:dyDescent="0.25">
      <c r="A496">
        <v>42</v>
      </c>
      <c r="B496" s="17" t="s">
        <v>543</v>
      </c>
      <c r="C496">
        <v>1</v>
      </c>
      <c r="D496" s="17" t="s">
        <v>31</v>
      </c>
      <c r="E496" s="17" t="s">
        <v>32</v>
      </c>
      <c r="F496" s="17" t="s">
        <v>33</v>
      </c>
      <c r="G496">
        <v>1</v>
      </c>
      <c r="H496">
        <v>25000</v>
      </c>
      <c r="I496">
        <v>11000</v>
      </c>
      <c r="J496">
        <v>0</v>
      </c>
      <c r="K496" s="17">
        <f>(Fact_Ventas_Detalle[[#This Row],[Cantidad]]*Fact_Ventas_Detalle[[#This Row],[Precio Unitario]])-Fact_Ventas_Detalle[[#This Row],[Descuento Linea]]</f>
        <v>25000</v>
      </c>
    </row>
    <row r="497" spans="1:11" x14ac:dyDescent="0.25">
      <c r="A497">
        <v>42</v>
      </c>
      <c r="B497" s="17" t="s">
        <v>412</v>
      </c>
      <c r="C497">
        <v>2</v>
      </c>
      <c r="D497" s="17" t="s">
        <v>17</v>
      </c>
      <c r="E497" s="17" t="s">
        <v>18</v>
      </c>
      <c r="F497" s="17" t="s">
        <v>19</v>
      </c>
      <c r="G497">
        <v>1</v>
      </c>
      <c r="H497">
        <v>65000</v>
      </c>
      <c r="I497">
        <v>35000</v>
      </c>
      <c r="J497">
        <v>0</v>
      </c>
      <c r="K497" s="17">
        <f>(Fact_Ventas_Detalle[[#This Row],[Cantidad]]*Fact_Ventas_Detalle[[#This Row],[Precio Unitario]])-Fact_Ventas_Detalle[[#This Row],[Descuento Linea]]</f>
        <v>65000</v>
      </c>
    </row>
    <row r="498" spans="1:11" x14ac:dyDescent="0.25">
      <c r="A498">
        <v>42</v>
      </c>
      <c r="B498" s="17" t="s">
        <v>164</v>
      </c>
      <c r="C498">
        <v>3</v>
      </c>
      <c r="D498" s="17" t="s">
        <v>42</v>
      </c>
      <c r="E498" s="17" t="s">
        <v>43</v>
      </c>
      <c r="F498" s="17" t="s">
        <v>29</v>
      </c>
      <c r="G498">
        <v>3</v>
      </c>
      <c r="H498">
        <v>185000</v>
      </c>
      <c r="I498">
        <v>115000</v>
      </c>
      <c r="J498">
        <v>0</v>
      </c>
      <c r="K498" s="17">
        <f>(Fact_Ventas_Detalle[[#This Row],[Cantidad]]*Fact_Ventas_Detalle[[#This Row],[Precio Unitario]])-Fact_Ventas_Detalle[[#This Row],[Descuento Linea]]</f>
        <v>555000</v>
      </c>
    </row>
    <row r="499" spans="1:11" x14ac:dyDescent="0.25">
      <c r="A499">
        <v>42</v>
      </c>
      <c r="B499" s="17" t="s">
        <v>720</v>
      </c>
      <c r="C499">
        <v>3</v>
      </c>
      <c r="D499" s="17" t="s">
        <v>39</v>
      </c>
      <c r="E499" s="17" t="s">
        <v>40</v>
      </c>
      <c r="F499" s="17" t="s">
        <v>14</v>
      </c>
      <c r="G499">
        <v>3</v>
      </c>
      <c r="H499">
        <v>75000</v>
      </c>
      <c r="I499">
        <v>42000</v>
      </c>
      <c r="J499">
        <v>0</v>
      </c>
      <c r="K499" s="17">
        <f>(Fact_Ventas_Detalle[[#This Row],[Cantidad]]*Fact_Ventas_Detalle[[#This Row],[Precio Unitario]])-Fact_Ventas_Detalle[[#This Row],[Descuento Linea]]</f>
        <v>225000</v>
      </c>
    </row>
    <row r="500" spans="1:11" x14ac:dyDescent="0.25">
      <c r="A500">
        <v>42</v>
      </c>
      <c r="B500" s="17" t="s">
        <v>831</v>
      </c>
      <c r="C500">
        <v>3</v>
      </c>
      <c r="D500" s="17" t="s">
        <v>37</v>
      </c>
      <c r="E500" s="17" t="s">
        <v>38</v>
      </c>
      <c r="F500" s="17" t="s">
        <v>33</v>
      </c>
      <c r="G500">
        <v>3</v>
      </c>
      <c r="H500">
        <v>45000</v>
      </c>
      <c r="I500">
        <v>22000</v>
      </c>
      <c r="J500">
        <v>0</v>
      </c>
      <c r="K500" s="17">
        <f>(Fact_Ventas_Detalle[[#This Row],[Cantidad]]*Fact_Ventas_Detalle[[#This Row],[Precio Unitario]])-Fact_Ventas_Detalle[[#This Row],[Descuento Linea]]</f>
        <v>135000</v>
      </c>
    </row>
    <row r="501" spans="1:11" x14ac:dyDescent="0.25">
      <c r="A501">
        <v>42</v>
      </c>
      <c r="B501" s="17" t="s">
        <v>166</v>
      </c>
      <c r="C501">
        <v>3</v>
      </c>
      <c r="D501" s="17" t="s">
        <v>12</v>
      </c>
      <c r="E501" s="17" t="s">
        <v>13</v>
      </c>
      <c r="F501" s="17" t="s">
        <v>14</v>
      </c>
      <c r="G501">
        <v>2</v>
      </c>
      <c r="H501">
        <v>280000</v>
      </c>
      <c r="I501">
        <v>190000</v>
      </c>
      <c r="J501">
        <v>28000</v>
      </c>
      <c r="K501" s="17">
        <f>(Fact_Ventas_Detalle[[#This Row],[Cantidad]]*Fact_Ventas_Detalle[[#This Row],[Precio Unitario]])-Fact_Ventas_Detalle[[#This Row],[Descuento Linea]]</f>
        <v>532000</v>
      </c>
    </row>
    <row r="502" spans="1:11" x14ac:dyDescent="0.25">
      <c r="A502">
        <v>42</v>
      </c>
      <c r="B502" s="17" t="s">
        <v>163</v>
      </c>
      <c r="C502">
        <v>3</v>
      </c>
      <c r="D502" s="17" t="s">
        <v>27</v>
      </c>
      <c r="E502" s="17" t="s">
        <v>28</v>
      </c>
      <c r="F502" s="17" t="s">
        <v>29</v>
      </c>
      <c r="G502">
        <v>3</v>
      </c>
      <c r="H502">
        <v>240000</v>
      </c>
      <c r="I502">
        <v>150000</v>
      </c>
      <c r="J502">
        <v>72000</v>
      </c>
      <c r="K502" s="17">
        <f>(Fact_Ventas_Detalle[[#This Row],[Cantidad]]*Fact_Ventas_Detalle[[#This Row],[Precio Unitario]])-Fact_Ventas_Detalle[[#This Row],[Descuento Linea]]</f>
        <v>648000</v>
      </c>
    </row>
    <row r="503" spans="1:11" x14ac:dyDescent="0.25">
      <c r="A503">
        <v>42</v>
      </c>
      <c r="B503" s="17" t="s">
        <v>165</v>
      </c>
      <c r="C503">
        <v>3</v>
      </c>
      <c r="D503" s="17" t="s">
        <v>24</v>
      </c>
      <c r="E503" s="17" t="s">
        <v>25</v>
      </c>
      <c r="F503" s="17" t="s">
        <v>14</v>
      </c>
      <c r="G503">
        <v>2</v>
      </c>
      <c r="H503">
        <v>850000</v>
      </c>
      <c r="I503">
        <v>620000</v>
      </c>
      <c r="J503">
        <v>85000</v>
      </c>
      <c r="K503" s="17">
        <f>(Fact_Ventas_Detalle[[#This Row],[Cantidad]]*Fact_Ventas_Detalle[[#This Row],[Precio Unitario]])-Fact_Ventas_Detalle[[#This Row],[Descuento Linea]]</f>
        <v>1615000</v>
      </c>
    </row>
    <row r="504" spans="1:11" x14ac:dyDescent="0.25">
      <c r="A504">
        <v>42</v>
      </c>
      <c r="B504" s="17" t="s">
        <v>171</v>
      </c>
      <c r="C504">
        <v>1</v>
      </c>
      <c r="D504" s="17" t="s">
        <v>31</v>
      </c>
      <c r="E504" s="17" t="s">
        <v>32</v>
      </c>
      <c r="F504" s="17" t="s">
        <v>33</v>
      </c>
      <c r="G504">
        <v>3</v>
      </c>
      <c r="H504">
        <v>25000</v>
      </c>
      <c r="I504">
        <v>11000</v>
      </c>
      <c r="J504">
        <v>3750</v>
      </c>
      <c r="K504" s="17">
        <f>(Fact_Ventas_Detalle[[#This Row],[Cantidad]]*Fact_Ventas_Detalle[[#This Row],[Precio Unitario]])-Fact_Ventas_Detalle[[#This Row],[Descuento Linea]]</f>
        <v>71250</v>
      </c>
    </row>
    <row r="505" spans="1:11" x14ac:dyDescent="0.25">
      <c r="A505">
        <v>42</v>
      </c>
      <c r="B505" s="17" t="s">
        <v>170</v>
      </c>
      <c r="C505">
        <v>1</v>
      </c>
      <c r="D505" s="17" t="s">
        <v>17</v>
      </c>
      <c r="E505" s="17" t="s">
        <v>18</v>
      </c>
      <c r="F505" s="17" t="s">
        <v>19</v>
      </c>
      <c r="G505">
        <v>1</v>
      </c>
      <c r="H505">
        <v>65000</v>
      </c>
      <c r="I505">
        <v>35000</v>
      </c>
      <c r="J505">
        <v>3250</v>
      </c>
      <c r="K505" s="17">
        <f>(Fact_Ventas_Detalle[[#This Row],[Cantidad]]*Fact_Ventas_Detalle[[#This Row],[Precio Unitario]])-Fact_Ventas_Detalle[[#This Row],[Descuento Linea]]</f>
        <v>61750</v>
      </c>
    </row>
    <row r="506" spans="1:11" x14ac:dyDescent="0.25">
      <c r="A506">
        <v>43</v>
      </c>
      <c r="B506" s="17" t="s">
        <v>722</v>
      </c>
      <c r="C506">
        <v>1</v>
      </c>
      <c r="D506" s="17" t="s">
        <v>12</v>
      </c>
      <c r="E506" s="17" t="s">
        <v>13</v>
      </c>
      <c r="F506" s="17" t="s">
        <v>14</v>
      </c>
      <c r="G506">
        <v>3</v>
      </c>
      <c r="H506">
        <v>280000</v>
      </c>
      <c r="I506">
        <v>190000</v>
      </c>
      <c r="J506">
        <v>0</v>
      </c>
      <c r="K506" s="17">
        <f>(Fact_Ventas_Detalle[[#This Row],[Cantidad]]*Fact_Ventas_Detalle[[#This Row],[Precio Unitario]])-Fact_Ventas_Detalle[[#This Row],[Descuento Linea]]</f>
        <v>840000</v>
      </c>
    </row>
    <row r="507" spans="1:11" x14ac:dyDescent="0.25">
      <c r="A507">
        <v>43</v>
      </c>
      <c r="B507" s="17" t="s">
        <v>172</v>
      </c>
      <c r="C507">
        <v>1</v>
      </c>
      <c r="D507" s="17" t="s">
        <v>12</v>
      </c>
      <c r="E507" s="17" t="s">
        <v>13</v>
      </c>
      <c r="F507" s="17" t="s">
        <v>14</v>
      </c>
      <c r="G507">
        <v>2</v>
      </c>
      <c r="H507">
        <v>280000</v>
      </c>
      <c r="I507">
        <v>190000</v>
      </c>
      <c r="J507">
        <v>0</v>
      </c>
      <c r="K507" s="17">
        <f>(Fact_Ventas_Detalle[[#This Row],[Cantidad]]*Fact_Ventas_Detalle[[#This Row],[Precio Unitario]])-Fact_Ventas_Detalle[[#This Row],[Descuento Linea]]</f>
        <v>560000</v>
      </c>
    </row>
    <row r="508" spans="1:11" x14ac:dyDescent="0.25">
      <c r="A508">
        <v>43</v>
      </c>
      <c r="B508" s="17" t="s">
        <v>173</v>
      </c>
      <c r="C508">
        <v>1</v>
      </c>
      <c r="D508" s="17" t="s">
        <v>39</v>
      </c>
      <c r="E508" s="17" t="s">
        <v>40</v>
      </c>
      <c r="F508" s="17" t="s">
        <v>14</v>
      </c>
      <c r="G508">
        <v>1</v>
      </c>
      <c r="H508">
        <v>75000</v>
      </c>
      <c r="I508">
        <v>42000</v>
      </c>
      <c r="J508">
        <v>0</v>
      </c>
      <c r="K508" s="17">
        <f>(Fact_Ventas_Detalle[[#This Row],[Cantidad]]*Fact_Ventas_Detalle[[#This Row],[Precio Unitario]])-Fact_Ventas_Detalle[[#This Row],[Descuento Linea]]</f>
        <v>75000</v>
      </c>
    </row>
    <row r="509" spans="1:11" x14ac:dyDescent="0.25">
      <c r="A509">
        <v>43</v>
      </c>
      <c r="B509" s="17" t="s">
        <v>169</v>
      </c>
      <c r="C509">
        <v>2</v>
      </c>
      <c r="D509" s="17" t="s">
        <v>37</v>
      </c>
      <c r="E509" s="17" t="s">
        <v>38</v>
      </c>
      <c r="F509" s="17" t="s">
        <v>33</v>
      </c>
      <c r="G509">
        <v>1</v>
      </c>
      <c r="H509">
        <v>45000</v>
      </c>
      <c r="I509">
        <v>22000</v>
      </c>
      <c r="J509">
        <v>0</v>
      </c>
      <c r="K509" s="17">
        <f>(Fact_Ventas_Detalle[[#This Row],[Cantidad]]*Fact_Ventas_Detalle[[#This Row],[Precio Unitario]])-Fact_Ventas_Detalle[[#This Row],[Descuento Linea]]</f>
        <v>45000</v>
      </c>
    </row>
    <row r="510" spans="1:11" x14ac:dyDescent="0.25">
      <c r="A510">
        <v>43</v>
      </c>
      <c r="B510" s="17" t="s">
        <v>171</v>
      </c>
      <c r="C510">
        <v>2</v>
      </c>
      <c r="D510" s="17" t="s">
        <v>39</v>
      </c>
      <c r="E510" s="17" t="s">
        <v>40</v>
      </c>
      <c r="F510" s="17" t="s">
        <v>14</v>
      </c>
      <c r="G510">
        <v>2</v>
      </c>
      <c r="H510">
        <v>75000</v>
      </c>
      <c r="I510">
        <v>42000</v>
      </c>
      <c r="J510">
        <v>0</v>
      </c>
      <c r="K510" s="17">
        <f>(Fact_Ventas_Detalle[[#This Row],[Cantidad]]*Fact_Ventas_Detalle[[#This Row],[Precio Unitario]])-Fact_Ventas_Detalle[[#This Row],[Descuento Linea]]</f>
        <v>150000</v>
      </c>
    </row>
    <row r="511" spans="1:11" x14ac:dyDescent="0.25">
      <c r="A511">
        <v>43</v>
      </c>
      <c r="B511" s="17" t="s">
        <v>412</v>
      </c>
      <c r="C511">
        <v>3</v>
      </c>
      <c r="D511" s="17" t="s">
        <v>31</v>
      </c>
      <c r="E511" s="17" t="s">
        <v>32</v>
      </c>
      <c r="F511" s="17" t="s">
        <v>33</v>
      </c>
      <c r="G511">
        <v>2</v>
      </c>
      <c r="H511">
        <v>25000</v>
      </c>
      <c r="I511">
        <v>11000</v>
      </c>
      <c r="J511">
        <v>0</v>
      </c>
      <c r="K511" s="17">
        <f>(Fact_Ventas_Detalle[[#This Row],[Cantidad]]*Fact_Ventas_Detalle[[#This Row],[Precio Unitario]])-Fact_Ventas_Detalle[[#This Row],[Descuento Linea]]</f>
        <v>50000</v>
      </c>
    </row>
    <row r="512" spans="1:11" x14ac:dyDescent="0.25">
      <c r="A512">
        <v>43</v>
      </c>
      <c r="B512" s="17" t="s">
        <v>165</v>
      </c>
      <c r="C512">
        <v>4</v>
      </c>
      <c r="D512" s="17" t="s">
        <v>39</v>
      </c>
      <c r="E512" s="17" t="s">
        <v>40</v>
      </c>
      <c r="F512" s="17" t="s">
        <v>14</v>
      </c>
      <c r="G512">
        <v>3</v>
      </c>
      <c r="H512">
        <v>75000</v>
      </c>
      <c r="I512">
        <v>42000</v>
      </c>
      <c r="J512">
        <v>22500</v>
      </c>
      <c r="K512" s="17">
        <f>(Fact_Ventas_Detalle[[#This Row],[Cantidad]]*Fact_Ventas_Detalle[[#This Row],[Precio Unitario]])-Fact_Ventas_Detalle[[#This Row],[Descuento Linea]]</f>
        <v>202500</v>
      </c>
    </row>
    <row r="513" spans="1:11" x14ac:dyDescent="0.25">
      <c r="A513">
        <v>43</v>
      </c>
      <c r="B513" s="17" t="s">
        <v>170</v>
      </c>
      <c r="C513">
        <v>2</v>
      </c>
      <c r="D513" s="17" t="s">
        <v>31</v>
      </c>
      <c r="E513" s="17" t="s">
        <v>32</v>
      </c>
      <c r="F513" s="17" t="s">
        <v>33</v>
      </c>
      <c r="G513">
        <v>2</v>
      </c>
      <c r="H513">
        <v>25000</v>
      </c>
      <c r="I513">
        <v>11000</v>
      </c>
      <c r="J513">
        <v>5000</v>
      </c>
      <c r="K513" s="17">
        <f>(Fact_Ventas_Detalle[[#This Row],[Cantidad]]*Fact_Ventas_Detalle[[#This Row],[Precio Unitario]])-Fact_Ventas_Detalle[[#This Row],[Descuento Linea]]</f>
        <v>45000</v>
      </c>
    </row>
    <row r="514" spans="1:11" x14ac:dyDescent="0.25">
      <c r="A514">
        <v>43</v>
      </c>
      <c r="B514" s="17" t="s">
        <v>174</v>
      </c>
      <c r="C514">
        <v>1</v>
      </c>
      <c r="D514" s="17" t="s">
        <v>39</v>
      </c>
      <c r="E514" s="17" t="s">
        <v>40</v>
      </c>
      <c r="F514" s="17" t="s">
        <v>14</v>
      </c>
      <c r="G514">
        <v>2</v>
      </c>
      <c r="H514">
        <v>75000</v>
      </c>
      <c r="I514">
        <v>42000</v>
      </c>
      <c r="J514">
        <v>15000</v>
      </c>
      <c r="K514" s="17">
        <f>(Fact_Ventas_Detalle[[#This Row],[Cantidad]]*Fact_Ventas_Detalle[[#This Row],[Precio Unitario]])-Fact_Ventas_Detalle[[#This Row],[Descuento Linea]]</f>
        <v>135000</v>
      </c>
    </row>
    <row r="515" spans="1:11" x14ac:dyDescent="0.25">
      <c r="A515">
        <v>43</v>
      </c>
      <c r="B515" s="17" t="s">
        <v>175</v>
      </c>
      <c r="C515">
        <v>1</v>
      </c>
      <c r="D515" s="17" t="s">
        <v>39</v>
      </c>
      <c r="E515" s="17" t="s">
        <v>40</v>
      </c>
      <c r="F515" s="17" t="s">
        <v>14</v>
      </c>
      <c r="G515">
        <v>2</v>
      </c>
      <c r="H515">
        <v>75000</v>
      </c>
      <c r="I515">
        <v>42000</v>
      </c>
      <c r="J515">
        <v>7500</v>
      </c>
      <c r="K515" s="17">
        <f>(Fact_Ventas_Detalle[[#This Row],[Cantidad]]*Fact_Ventas_Detalle[[#This Row],[Precio Unitario]])-Fact_Ventas_Detalle[[#This Row],[Descuento Linea]]</f>
        <v>142500</v>
      </c>
    </row>
    <row r="516" spans="1:11" x14ac:dyDescent="0.25">
      <c r="A516">
        <v>43</v>
      </c>
      <c r="B516" s="17" t="s">
        <v>833</v>
      </c>
      <c r="C516">
        <v>1</v>
      </c>
      <c r="D516" s="17" t="s">
        <v>17</v>
      </c>
      <c r="E516" s="17" t="s">
        <v>18</v>
      </c>
      <c r="F516" s="17" t="s">
        <v>19</v>
      </c>
      <c r="G516">
        <v>2</v>
      </c>
      <c r="H516">
        <v>65000</v>
      </c>
      <c r="I516">
        <v>35000</v>
      </c>
      <c r="J516">
        <v>13000</v>
      </c>
      <c r="K516" s="17">
        <f>(Fact_Ventas_Detalle[[#This Row],[Cantidad]]*Fact_Ventas_Detalle[[#This Row],[Precio Unitario]])-Fact_Ventas_Detalle[[#This Row],[Descuento Linea]]</f>
        <v>117000</v>
      </c>
    </row>
    <row r="517" spans="1:11" x14ac:dyDescent="0.25">
      <c r="A517">
        <v>43</v>
      </c>
      <c r="B517" s="17" t="s">
        <v>428</v>
      </c>
      <c r="C517">
        <v>1</v>
      </c>
      <c r="D517" s="17" t="s">
        <v>42</v>
      </c>
      <c r="E517" s="17" t="s">
        <v>43</v>
      </c>
      <c r="F517" s="17" t="s">
        <v>29</v>
      </c>
      <c r="G517">
        <v>3</v>
      </c>
      <c r="H517">
        <v>185000</v>
      </c>
      <c r="I517">
        <v>115000</v>
      </c>
      <c r="J517">
        <v>55500</v>
      </c>
      <c r="K517" s="17">
        <f>(Fact_Ventas_Detalle[[#This Row],[Cantidad]]*Fact_Ventas_Detalle[[#This Row],[Precio Unitario]])-Fact_Ventas_Detalle[[#This Row],[Descuento Linea]]</f>
        <v>499500</v>
      </c>
    </row>
    <row r="518" spans="1:11" x14ac:dyDescent="0.25">
      <c r="A518">
        <v>44</v>
      </c>
      <c r="B518" s="17" t="s">
        <v>696</v>
      </c>
      <c r="C518">
        <v>1</v>
      </c>
      <c r="D518" s="17" t="s">
        <v>27</v>
      </c>
      <c r="E518" s="17" t="s">
        <v>28</v>
      </c>
      <c r="F518" s="17" t="s">
        <v>29</v>
      </c>
      <c r="G518">
        <v>3</v>
      </c>
      <c r="H518">
        <v>240000</v>
      </c>
      <c r="I518">
        <v>150000</v>
      </c>
      <c r="J518">
        <v>0</v>
      </c>
      <c r="K518" s="17">
        <f>(Fact_Ventas_Detalle[[#This Row],[Cantidad]]*Fact_Ventas_Detalle[[#This Row],[Precio Unitario]])-Fact_Ventas_Detalle[[#This Row],[Descuento Linea]]</f>
        <v>720000</v>
      </c>
    </row>
    <row r="519" spans="1:11" x14ac:dyDescent="0.25">
      <c r="A519">
        <v>44</v>
      </c>
      <c r="B519" s="17" t="s">
        <v>174</v>
      </c>
      <c r="C519">
        <v>2</v>
      </c>
      <c r="D519" s="17" t="s">
        <v>17</v>
      </c>
      <c r="E519" s="17" t="s">
        <v>18</v>
      </c>
      <c r="F519" s="17" t="s">
        <v>19</v>
      </c>
      <c r="G519">
        <v>2</v>
      </c>
      <c r="H519">
        <v>65000</v>
      </c>
      <c r="I519">
        <v>35000</v>
      </c>
      <c r="J519">
        <v>0</v>
      </c>
      <c r="K519" s="17">
        <f>(Fact_Ventas_Detalle[[#This Row],[Cantidad]]*Fact_Ventas_Detalle[[#This Row],[Precio Unitario]])-Fact_Ventas_Detalle[[#This Row],[Descuento Linea]]</f>
        <v>130000</v>
      </c>
    </row>
    <row r="520" spans="1:11" x14ac:dyDescent="0.25">
      <c r="A520">
        <v>44</v>
      </c>
      <c r="B520" s="17" t="s">
        <v>173</v>
      </c>
      <c r="C520">
        <v>2</v>
      </c>
      <c r="D520" s="17" t="s">
        <v>39</v>
      </c>
      <c r="E520" s="17" t="s">
        <v>40</v>
      </c>
      <c r="F520" s="17" t="s">
        <v>14</v>
      </c>
      <c r="G520">
        <v>3</v>
      </c>
      <c r="H520">
        <v>75000</v>
      </c>
      <c r="I520">
        <v>42000</v>
      </c>
      <c r="J520">
        <v>0</v>
      </c>
      <c r="K520" s="17">
        <f>(Fact_Ventas_Detalle[[#This Row],[Cantidad]]*Fact_Ventas_Detalle[[#This Row],[Precio Unitario]])-Fact_Ventas_Detalle[[#This Row],[Descuento Linea]]</f>
        <v>225000</v>
      </c>
    </row>
    <row r="521" spans="1:11" x14ac:dyDescent="0.25">
      <c r="A521">
        <v>44</v>
      </c>
      <c r="B521" s="17" t="s">
        <v>169</v>
      </c>
      <c r="C521">
        <v>3</v>
      </c>
      <c r="D521" s="17" t="s">
        <v>39</v>
      </c>
      <c r="E521" s="17" t="s">
        <v>40</v>
      </c>
      <c r="F521" s="17" t="s">
        <v>14</v>
      </c>
      <c r="G521">
        <v>3</v>
      </c>
      <c r="H521">
        <v>75000</v>
      </c>
      <c r="I521">
        <v>42000</v>
      </c>
      <c r="J521">
        <v>0</v>
      </c>
      <c r="K521" s="17">
        <f>(Fact_Ventas_Detalle[[#This Row],[Cantidad]]*Fact_Ventas_Detalle[[#This Row],[Precio Unitario]])-Fact_Ventas_Detalle[[#This Row],[Descuento Linea]]</f>
        <v>225000</v>
      </c>
    </row>
    <row r="522" spans="1:11" x14ac:dyDescent="0.25">
      <c r="A522">
        <v>44</v>
      </c>
      <c r="B522" s="17" t="s">
        <v>170</v>
      </c>
      <c r="C522">
        <v>3</v>
      </c>
      <c r="D522" s="17" t="s">
        <v>37</v>
      </c>
      <c r="E522" s="17" t="s">
        <v>38</v>
      </c>
      <c r="F522" s="17" t="s">
        <v>33</v>
      </c>
      <c r="G522">
        <v>3</v>
      </c>
      <c r="H522">
        <v>45000</v>
      </c>
      <c r="I522">
        <v>22000</v>
      </c>
      <c r="J522">
        <v>6750</v>
      </c>
      <c r="K522" s="17">
        <f>(Fact_Ventas_Detalle[[#This Row],[Cantidad]]*Fact_Ventas_Detalle[[#This Row],[Precio Unitario]])-Fact_Ventas_Detalle[[#This Row],[Descuento Linea]]</f>
        <v>128250</v>
      </c>
    </row>
    <row r="523" spans="1:11" x14ac:dyDescent="0.25">
      <c r="A523">
        <v>44</v>
      </c>
      <c r="B523" s="17" t="s">
        <v>171</v>
      </c>
      <c r="C523">
        <v>3</v>
      </c>
      <c r="D523" s="17" t="s">
        <v>12</v>
      </c>
      <c r="E523" s="17" t="s">
        <v>13</v>
      </c>
      <c r="F523" s="17" t="s">
        <v>14</v>
      </c>
      <c r="G523">
        <v>3</v>
      </c>
      <c r="H523">
        <v>280000</v>
      </c>
      <c r="I523">
        <v>190000</v>
      </c>
      <c r="J523">
        <v>42000</v>
      </c>
      <c r="K523" s="17">
        <f>(Fact_Ventas_Detalle[[#This Row],[Cantidad]]*Fact_Ventas_Detalle[[#This Row],[Precio Unitario]])-Fact_Ventas_Detalle[[#This Row],[Descuento Linea]]</f>
        <v>798000</v>
      </c>
    </row>
    <row r="524" spans="1:11" x14ac:dyDescent="0.25">
      <c r="A524">
        <v>44</v>
      </c>
      <c r="B524" s="17" t="s">
        <v>722</v>
      </c>
      <c r="C524">
        <v>2</v>
      </c>
      <c r="D524" s="17" t="s">
        <v>37</v>
      </c>
      <c r="E524" s="17" t="s">
        <v>38</v>
      </c>
      <c r="F524" s="17" t="s">
        <v>33</v>
      </c>
      <c r="G524">
        <v>3</v>
      </c>
      <c r="H524">
        <v>45000</v>
      </c>
      <c r="I524">
        <v>22000</v>
      </c>
      <c r="J524">
        <v>6750</v>
      </c>
      <c r="K524" s="17">
        <f>(Fact_Ventas_Detalle[[#This Row],[Cantidad]]*Fact_Ventas_Detalle[[#This Row],[Precio Unitario]])-Fact_Ventas_Detalle[[#This Row],[Descuento Linea]]</f>
        <v>128250</v>
      </c>
    </row>
    <row r="525" spans="1:11" x14ac:dyDescent="0.25">
      <c r="A525">
        <v>44</v>
      </c>
      <c r="B525" s="17" t="s">
        <v>833</v>
      </c>
      <c r="C525">
        <v>2</v>
      </c>
      <c r="D525" s="17" t="s">
        <v>37</v>
      </c>
      <c r="E525" s="17" t="s">
        <v>38</v>
      </c>
      <c r="F525" s="17" t="s">
        <v>33</v>
      </c>
      <c r="G525">
        <v>3</v>
      </c>
      <c r="H525">
        <v>45000</v>
      </c>
      <c r="I525">
        <v>22000</v>
      </c>
      <c r="J525">
        <v>6750</v>
      </c>
      <c r="K525" s="17">
        <f>(Fact_Ventas_Detalle[[#This Row],[Cantidad]]*Fact_Ventas_Detalle[[#This Row],[Precio Unitario]])-Fact_Ventas_Detalle[[#This Row],[Descuento Linea]]</f>
        <v>128250</v>
      </c>
    </row>
    <row r="526" spans="1:11" x14ac:dyDescent="0.25">
      <c r="A526">
        <v>44</v>
      </c>
      <c r="B526" s="17" t="s">
        <v>176</v>
      </c>
      <c r="C526">
        <v>1</v>
      </c>
      <c r="D526" s="17" t="s">
        <v>27</v>
      </c>
      <c r="E526" s="17" t="s">
        <v>28</v>
      </c>
      <c r="F526" s="17" t="s">
        <v>29</v>
      </c>
      <c r="G526">
        <v>3</v>
      </c>
      <c r="H526">
        <v>240000</v>
      </c>
      <c r="I526">
        <v>150000</v>
      </c>
      <c r="J526">
        <v>36000</v>
      </c>
      <c r="K526" s="17">
        <f>(Fact_Ventas_Detalle[[#This Row],[Cantidad]]*Fact_Ventas_Detalle[[#This Row],[Precio Unitario]])-Fact_Ventas_Detalle[[#This Row],[Descuento Linea]]</f>
        <v>684000</v>
      </c>
    </row>
    <row r="527" spans="1:11" x14ac:dyDescent="0.25">
      <c r="A527">
        <v>44</v>
      </c>
      <c r="B527" s="17" t="s">
        <v>617</v>
      </c>
      <c r="C527">
        <v>1</v>
      </c>
      <c r="D527" s="17" t="s">
        <v>31</v>
      </c>
      <c r="E527" s="17" t="s">
        <v>32</v>
      </c>
      <c r="F527" s="17" t="s">
        <v>33</v>
      </c>
      <c r="G527">
        <v>3</v>
      </c>
      <c r="H527">
        <v>25000</v>
      </c>
      <c r="I527">
        <v>11000</v>
      </c>
      <c r="J527">
        <v>3750</v>
      </c>
      <c r="K527" s="17">
        <f>(Fact_Ventas_Detalle[[#This Row],[Cantidad]]*Fact_Ventas_Detalle[[#This Row],[Precio Unitario]])-Fact_Ventas_Detalle[[#This Row],[Descuento Linea]]</f>
        <v>71250</v>
      </c>
    </row>
    <row r="528" spans="1:11" x14ac:dyDescent="0.25">
      <c r="A528">
        <v>44</v>
      </c>
      <c r="B528" s="17" t="s">
        <v>177</v>
      </c>
      <c r="C528">
        <v>1</v>
      </c>
      <c r="D528" s="17" t="s">
        <v>37</v>
      </c>
      <c r="E528" s="17" t="s">
        <v>38</v>
      </c>
      <c r="F528" s="17" t="s">
        <v>33</v>
      </c>
      <c r="G528">
        <v>1</v>
      </c>
      <c r="H528">
        <v>45000</v>
      </c>
      <c r="I528">
        <v>22000</v>
      </c>
      <c r="J528">
        <v>2250</v>
      </c>
      <c r="K528" s="17">
        <f>(Fact_Ventas_Detalle[[#This Row],[Cantidad]]*Fact_Ventas_Detalle[[#This Row],[Precio Unitario]])-Fact_Ventas_Detalle[[#This Row],[Descuento Linea]]</f>
        <v>42750</v>
      </c>
    </row>
    <row r="529" spans="1:11" x14ac:dyDescent="0.25">
      <c r="A529">
        <v>44</v>
      </c>
      <c r="B529" s="17" t="s">
        <v>178</v>
      </c>
      <c r="C529">
        <v>1</v>
      </c>
      <c r="D529" s="17" t="s">
        <v>31</v>
      </c>
      <c r="E529" s="17" t="s">
        <v>32</v>
      </c>
      <c r="F529" s="17" t="s">
        <v>33</v>
      </c>
      <c r="G529">
        <v>1</v>
      </c>
      <c r="H529">
        <v>25000</v>
      </c>
      <c r="I529">
        <v>11000</v>
      </c>
      <c r="J529">
        <v>1250</v>
      </c>
      <c r="K529" s="17">
        <f>(Fact_Ventas_Detalle[[#This Row],[Cantidad]]*Fact_Ventas_Detalle[[#This Row],[Precio Unitario]])-Fact_Ventas_Detalle[[#This Row],[Descuento Linea]]</f>
        <v>23750</v>
      </c>
    </row>
    <row r="530" spans="1:11" x14ac:dyDescent="0.25">
      <c r="A530">
        <v>45</v>
      </c>
      <c r="B530" s="17" t="s">
        <v>179</v>
      </c>
      <c r="C530">
        <v>1</v>
      </c>
      <c r="D530" s="17" t="s">
        <v>12</v>
      </c>
      <c r="E530" s="17" t="s">
        <v>13</v>
      </c>
      <c r="F530" s="17" t="s">
        <v>14</v>
      </c>
      <c r="G530">
        <v>3</v>
      </c>
      <c r="H530">
        <v>280000</v>
      </c>
      <c r="I530">
        <v>190000</v>
      </c>
      <c r="J530">
        <v>0</v>
      </c>
      <c r="K530" s="17">
        <f>(Fact_Ventas_Detalle[[#This Row],[Cantidad]]*Fact_Ventas_Detalle[[#This Row],[Precio Unitario]])-Fact_Ventas_Detalle[[#This Row],[Descuento Linea]]</f>
        <v>840000</v>
      </c>
    </row>
    <row r="531" spans="1:11" x14ac:dyDescent="0.25">
      <c r="A531">
        <v>45</v>
      </c>
      <c r="B531" s="17" t="s">
        <v>696</v>
      </c>
      <c r="C531">
        <v>2</v>
      </c>
      <c r="D531" s="17" t="s">
        <v>27</v>
      </c>
      <c r="E531" s="17" t="s">
        <v>28</v>
      </c>
      <c r="F531" s="17" t="s">
        <v>29</v>
      </c>
      <c r="G531">
        <v>3</v>
      </c>
      <c r="H531">
        <v>240000</v>
      </c>
      <c r="I531">
        <v>150000</v>
      </c>
      <c r="J531">
        <v>0</v>
      </c>
      <c r="K531" s="17">
        <f>(Fact_Ventas_Detalle[[#This Row],[Cantidad]]*Fact_Ventas_Detalle[[#This Row],[Precio Unitario]])-Fact_Ventas_Detalle[[#This Row],[Descuento Linea]]</f>
        <v>720000</v>
      </c>
    </row>
    <row r="532" spans="1:11" x14ac:dyDescent="0.25">
      <c r="A532">
        <v>45</v>
      </c>
      <c r="B532" s="17" t="s">
        <v>722</v>
      </c>
      <c r="C532">
        <v>3</v>
      </c>
      <c r="D532" s="17" t="s">
        <v>42</v>
      </c>
      <c r="E532" s="17" t="s">
        <v>43</v>
      </c>
      <c r="F532" s="17" t="s">
        <v>29</v>
      </c>
      <c r="G532">
        <v>2</v>
      </c>
      <c r="H532">
        <v>185000</v>
      </c>
      <c r="I532">
        <v>115000</v>
      </c>
      <c r="J532">
        <v>0</v>
      </c>
      <c r="K532" s="17">
        <f>(Fact_Ventas_Detalle[[#This Row],[Cantidad]]*Fact_Ventas_Detalle[[#This Row],[Precio Unitario]])-Fact_Ventas_Detalle[[#This Row],[Descuento Linea]]</f>
        <v>370000</v>
      </c>
    </row>
    <row r="533" spans="1:11" x14ac:dyDescent="0.25">
      <c r="A533">
        <v>45</v>
      </c>
      <c r="B533" s="17" t="s">
        <v>171</v>
      </c>
      <c r="C533">
        <v>4</v>
      </c>
      <c r="D533" s="17" t="s">
        <v>24</v>
      </c>
      <c r="E533" s="17" t="s">
        <v>25</v>
      </c>
      <c r="F533" s="17" t="s">
        <v>14</v>
      </c>
      <c r="G533">
        <v>1</v>
      </c>
      <c r="H533">
        <v>850000</v>
      </c>
      <c r="I533">
        <v>620000</v>
      </c>
      <c r="J533">
        <v>85000</v>
      </c>
      <c r="K533" s="17">
        <f>(Fact_Ventas_Detalle[[#This Row],[Cantidad]]*Fact_Ventas_Detalle[[#This Row],[Precio Unitario]])-Fact_Ventas_Detalle[[#This Row],[Descuento Linea]]</f>
        <v>765000</v>
      </c>
    </row>
    <row r="534" spans="1:11" x14ac:dyDescent="0.25">
      <c r="A534">
        <v>45</v>
      </c>
      <c r="B534" s="17" t="s">
        <v>174</v>
      </c>
      <c r="C534">
        <v>3</v>
      </c>
      <c r="D534" s="17" t="s">
        <v>12</v>
      </c>
      <c r="E534" s="17" t="s">
        <v>13</v>
      </c>
      <c r="F534" s="17" t="s">
        <v>14</v>
      </c>
      <c r="G534">
        <v>2</v>
      </c>
      <c r="H534">
        <v>280000</v>
      </c>
      <c r="I534">
        <v>190000</v>
      </c>
      <c r="J534">
        <v>56000</v>
      </c>
      <c r="K534" s="17">
        <f>(Fact_Ventas_Detalle[[#This Row],[Cantidad]]*Fact_Ventas_Detalle[[#This Row],[Precio Unitario]])-Fact_Ventas_Detalle[[#This Row],[Descuento Linea]]</f>
        <v>504000</v>
      </c>
    </row>
    <row r="535" spans="1:11" x14ac:dyDescent="0.25">
      <c r="A535">
        <v>45</v>
      </c>
      <c r="B535" s="17" t="s">
        <v>833</v>
      </c>
      <c r="C535">
        <v>3</v>
      </c>
      <c r="D535" s="17" t="s">
        <v>17</v>
      </c>
      <c r="E535" s="17" t="s">
        <v>18</v>
      </c>
      <c r="F535" s="17" t="s">
        <v>19</v>
      </c>
      <c r="G535">
        <v>3</v>
      </c>
      <c r="H535">
        <v>65000</v>
      </c>
      <c r="I535">
        <v>35000</v>
      </c>
      <c r="J535">
        <v>19500</v>
      </c>
      <c r="K535" s="17">
        <f>(Fact_Ventas_Detalle[[#This Row],[Cantidad]]*Fact_Ventas_Detalle[[#This Row],[Precio Unitario]])-Fact_Ventas_Detalle[[#This Row],[Descuento Linea]]</f>
        <v>175500</v>
      </c>
    </row>
    <row r="536" spans="1:11" x14ac:dyDescent="0.25">
      <c r="A536">
        <v>45</v>
      </c>
      <c r="B536" s="17" t="s">
        <v>176</v>
      </c>
      <c r="C536">
        <v>2</v>
      </c>
      <c r="D536" s="17" t="s">
        <v>39</v>
      </c>
      <c r="E536" s="17" t="s">
        <v>40</v>
      </c>
      <c r="F536" s="17" t="s">
        <v>14</v>
      </c>
      <c r="G536">
        <v>3</v>
      </c>
      <c r="H536">
        <v>75000</v>
      </c>
      <c r="I536">
        <v>42000</v>
      </c>
      <c r="J536">
        <v>22500</v>
      </c>
      <c r="K536" s="17">
        <f>(Fact_Ventas_Detalle[[#This Row],[Cantidad]]*Fact_Ventas_Detalle[[#This Row],[Precio Unitario]])-Fact_Ventas_Detalle[[#This Row],[Descuento Linea]]</f>
        <v>202500</v>
      </c>
    </row>
    <row r="537" spans="1:11" x14ac:dyDescent="0.25">
      <c r="A537">
        <v>45</v>
      </c>
      <c r="B537" s="17" t="s">
        <v>177</v>
      </c>
      <c r="C537">
        <v>2</v>
      </c>
      <c r="D537" s="17" t="s">
        <v>31</v>
      </c>
      <c r="E537" s="17" t="s">
        <v>32</v>
      </c>
      <c r="F537" s="17" t="s">
        <v>33</v>
      </c>
      <c r="G537">
        <v>2</v>
      </c>
      <c r="H537">
        <v>25000</v>
      </c>
      <c r="I537">
        <v>11000</v>
      </c>
      <c r="J537">
        <v>2500</v>
      </c>
      <c r="K537" s="17">
        <f>(Fact_Ventas_Detalle[[#This Row],[Cantidad]]*Fact_Ventas_Detalle[[#This Row],[Precio Unitario]])-Fact_Ventas_Detalle[[#This Row],[Descuento Linea]]</f>
        <v>47500</v>
      </c>
    </row>
    <row r="538" spans="1:11" x14ac:dyDescent="0.25">
      <c r="A538">
        <v>45</v>
      </c>
      <c r="B538" s="17" t="s">
        <v>178</v>
      </c>
      <c r="C538">
        <v>2</v>
      </c>
      <c r="D538" s="17" t="s">
        <v>31</v>
      </c>
      <c r="E538" s="17" t="s">
        <v>32</v>
      </c>
      <c r="F538" s="17" t="s">
        <v>33</v>
      </c>
      <c r="G538">
        <v>3</v>
      </c>
      <c r="H538">
        <v>25000</v>
      </c>
      <c r="I538">
        <v>11000</v>
      </c>
      <c r="J538">
        <v>7500</v>
      </c>
      <c r="K538" s="17">
        <f>(Fact_Ventas_Detalle[[#This Row],[Cantidad]]*Fact_Ventas_Detalle[[#This Row],[Precio Unitario]])-Fact_Ventas_Detalle[[#This Row],[Descuento Linea]]</f>
        <v>67500</v>
      </c>
    </row>
    <row r="539" spans="1:11" x14ac:dyDescent="0.25">
      <c r="A539">
        <v>45</v>
      </c>
      <c r="B539" s="17" t="s">
        <v>617</v>
      </c>
      <c r="C539">
        <v>2</v>
      </c>
      <c r="D539" s="17" t="s">
        <v>37</v>
      </c>
      <c r="E539" s="17" t="s">
        <v>38</v>
      </c>
      <c r="F539" s="17" t="s">
        <v>33</v>
      </c>
      <c r="G539">
        <v>1</v>
      </c>
      <c r="H539">
        <v>45000</v>
      </c>
      <c r="I539">
        <v>22000</v>
      </c>
      <c r="J539">
        <v>4500</v>
      </c>
      <c r="K539" s="17">
        <f>(Fact_Ventas_Detalle[[#This Row],[Cantidad]]*Fact_Ventas_Detalle[[#This Row],[Precio Unitario]])-Fact_Ventas_Detalle[[#This Row],[Descuento Linea]]</f>
        <v>40500</v>
      </c>
    </row>
    <row r="540" spans="1:11" x14ac:dyDescent="0.25">
      <c r="A540">
        <v>45</v>
      </c>
      <c r="B540" s="17" t="s">
        <v>180</v>
      </c>
      <c r="C540">
        <v>1</v>
      </c>
      <c r="D540" s="17" t="s">
        <v>17</v>
      </c>
      <c r="E540" s="17" t="s">
        <v>18</v>
      </c>
      <c r="F540" s="17" t="s">
        <v>19</v>
      </c>
      <c r="G540">
        <v>3</v>
      </c>
      <c r="H540">
        <v>65000</v>
      </c>
      <c r="I540">
        <v>35000</v>
      </c>
      <c r="J540">
        <v>19500</v>
      </c>
      <c r="K540" s="17">
        <f>(Fact_Ventas_Detalle[[#This Row],[Cantidad]]*Fact_Ventas_Detalle[[#This Row],[Precio Unitario]])-Fact_Ventas_Detalle[[#This Row],[Descuento Linea]]</f>
        <v>175500</v>
      </c>
    </row>
    <row r="541" spans="1:11" x14ac:dyDescent="0.25">
      <c r="A541">
        <v>45</v>
      </c>
      <c r="B541" s="17" t="s">
        <v>181</v>
      </c>
      <c r="C541">
        <v>1</v>
      </c>
      <c r="D541" s="17" t="s">
        <v>39</v>
      </c>
      <c r="E541" s="17" t="s">
        <v>40</v>
      </c>
      <c r="F541" s="17" t="s">
        <v>14</v>
      </c>
      <c r="G541">
        <v>3</v>
      </c>
      <c r="H541">
        <v>75000</v>
      </c>
      <c r="I541">
        <v>42000</v>
      </c>
      <c r="J541">
        <v>11250</v>
      </c>
      <c r="K541" s="17">
        <f>(Fact_Ventas_Detalle[[#This Row],[Cantidad]]*Fact_Ventas_Detalle[[#This Row],[Precio Unitario]])-Fact_Ventas_Detalle[[#This Row],[Descuento Linea]]</f>
        <v>213750</v>
      </c>
    </row>
    <row r="542" spans="1:11" x14ac:dyDescent="0.25">
      <c r="A542">
        <v>46</v>
      </c>
      <c r="B542" s="17" t="s">
        <v>835</v>
      </c>
      <c r="C542">
        <v>1</v>
      </c>
      <c r="D542" s="17" t="s">
        <v>31</v>
      </c>
      <c r="E542" s="17" t="s">
        <v>32</v>
      </c>
      <c r="F542" s="17" t="s">
        <v>33</v>
      </c>
      <c r="G542">
        <v>3</v>
      </c>
      <c r="H542">
        <v>25000</v>
      </c>
      <c r="I542">
        <v>11000</v>
      </c>
      <c r="J542">
        <v>0</v>
      </c>
      <c r="K542" s="17">
        <f>(Fact_Ventas_Detalle[[#This Row],[Cantidad]]*Fact_Ventas_Detalle[[#This Row],[Precio Unitario]])-Fact_Ventas_Detalle[[#This Row],[Descuento Linea]]</f>
        <v>75000</v>
      </c>
    </row>
    <row r="543" spans="1:11" x14ac:dyDescent="0.25">
      <c r="A543">
        <v>46</v>
      </c>
      <c r="B543" s="17" t="s">
        <v>182</v>
      </c>
      <c r="C543">
        <v>1</v>
      </c>
      <c r="D543" s="17" t="s">
        <v>27</v>
      </c>
      <c r="E543" s="17" t="s">
        <v>28</v>
      </c>
      <c r="F543" s="17" t="s">
        <v>29</v>
      </c>
      <c r="G543">
        <v>1</v>
      </c>
      <c r="H543">
        <v>240000</v>
      </c>
      <c r="I543">
        <v>150000</v>
      </c>
      <c r="J543">
        <v>0</v>
      </c>
      <c r="K543" s="17">
        <f>(Fact_Ventas_Detalle[[#This Row],[Cantidad]]*Fact_Ventas_Detalle[[#This Row],[Precio Unitario]])-Fact_Ventas_Detalle[[#This Row],[Descuento Linea]]</f>
        <v>240000</v>
      </c>
    </row>
    <row r="544" spans="1:11" x14ac:dyDescent="0.25">
      <c r="A544">
        <v>46</v>
      </c>
      <c r="B544" s="17" t="s">
        <v>698</v>
      </c>
      <c r="C544">
        <v>1</v>
      </c>
      <c r="D544" s="17" t="s">
        <v>31</v>
      </c>
      <c r="E544" s="17" t="s">
        <v>32</v>
      </c>
      <c r="F544" s="17" t="s">
        <v>33</v>
      </c>
      <c r="G544">
        <v>1</v>
      </c>
      <c r="H544">
        <v>25000</v>
      </c>
      <c r="I544">
        <v>11000</v>
      </c>
      <c r="J544">
        <v>0</v>
      </c>
      <c r="K544" s="17">
        <f>(Fact_Ventas_Detalle[[#This Row],[Cantidad]]*Fact_Ventas_Detalle[[#This Row],[Precio Unitario]])-Fact_Ventas_Detalle[[#This Row],[Descuento Linea]]</f>
        <v>25000</v>
      </c>
    </row>
    <row r="545" spans="1:11" x14ac:dyDescent="0.25">
      <c r="A545">
        <v>46</v>
      </c>
      <c r="B545" s="17" t="s">
        <v>180</v>
      </c>
      <c r="C545">
        <v>2</v>
      </c>
      <c r="D545" s="17" t="s">
        <v>31</v>
      </c>
      <c r="E545" s="17" t="s">
        <v>32</v>
      </c>
      <c r="F545" s="17" t="s">
        <v>33</v>
      </c>
      <c r="G545">
        <v>2</v>
      </c>
      <c r="H545">
        <v>25000</v>
      </c>
      <c r="I545">
        <v>11000</v>
      </c>
      <c r="J545">
        <v>0</v>
      </c>
      <c r="K545" s="17">
        <f>(Fact_Ventas_Detalle[[#This Row],[Cantidad]]*Fact_Ventas_Detalle[[#This Row],[Precio Unitario]])-Fact_Ventas_Detalle[[#This Row],[Descuento Linea]]</f>
        <v>50000</v>
      </c>
    </row>
    <row r="546" spans="1:11" x14ac:dyDescent="0.25">
      <c r="A546">
        <v>46</v>
      </c>
      <c r="B546" s="17" t="s">
        <v>176</v>
      </c>
      <c r="C546">
        <v>3</v>
      </c>
      <c r="D546" s="17" t="s">
        <v>12</v>
      </c>
      <c r="E546" s="17" t="s">
        <v>13</v>
      </c>
      <c r="F546" s="17" t="s">
        <v>14</v>
      </c>
      <c r="G546">
        <v>3</v>
      </c>
      <c r="H546">
        <v>280000</v>
      </c>
      <c r="I546">
        <v>190000</v>
      </c>
      <c r="J546">
        <v>0</v>
      </c>
      <c r="K546" s="17">
        <f>(Fact_Ventas_Detalle[[#This Row],[Cantidad]]*Fact_Ventas_Detalle[[#This Row],[Precio Unitario]])-Fact_Ventas_Detalle[[#This Row],[Descuento Linea]]</f>
        <v>840000</v>
      </c>
    </row>
    <row r="547" spans="1:11" x14ac:dyDescent="0.25">
      <c r="A547">
        <v>46</v>
      </c>
      <c r="B547" s="17" t="s">
        <v>177</v>
      </c>
      <c r="C547">
        <v>3</v>
      </c>
      <c r="D547" s="17" t="s">
        <v>12</v>
      </c>
      <c r="E547" s="17" t="s">
        <v>13</v>
      </c>
      <c r="F547" s="17" t="s">
        <v>14</v>
      </c>
      <c r="G547">
        <v>2</v>
      </c>
      <c r="H547">
        <v>280000</v>
      </c>
      <c r="I547">
        <v>190000</v>
      </c>
      <c r="J547">
        <v>0</v>
      </c>
      <c r="K547" s="17">
        <f>(Fact_Ventas_Detalle[[#This Row],[Cantidad]]*Fact_Ventas_Detalle[[#This Row],[Precio Unitario]])-Fact_Ventas_Detalle[[#This Row],[Descuento Linea]]</f>
        <v>560000</v>
      </c>
    </row>
    <row r="548" spans="1:11" x14ac:dyDescent="0.25">
      <c r="A548">
        <v>46</v>
      </c>
      <c r="B548" s="17" t="s">
        <v>722</v>
      </c>
      <c r="C548">
        <v>4</v>
      </c>
      <c r="D548" s="17" t="s">
        <v>12</v>
      </c>
      <c r="E548" s="17" t="s">
        <v>13</v>
      </c>
      <c r="F548" s="17" t="s">
        <v>14</v>
      </c>
      <c r="G548">
        <v>3</v>
      </c>
      <c r="H548">
        <v>280000</v>
      </c>
      <c r="I548">
        <v>190000</v>
      </c>
      <c r="J548">
        <v>0</v>
      </c>
      <c r="K548" s="17">
        <f>(Fact_Ventas_Detalle[[#This Row],[Cantidad]]*Fact_Ventas_Detalle[[#This Row],[Precio Unitario]])-Fact_Ventas_Detalle[[#This Row],[Descuento Linea]]</f>
        <v>840000</v>
      </c>
    </row>
    <row r="549" spans="1:11" x14ac:dyDescent="0.25">
      <c r="A549">
        <v>46</v>
      </c>
      <c r="B549" s="17" t="s">
        <v>617</v>
      </c>
      <c r="C549">
        <v>3</v>
      </c>
      <c r="D549" s="17" t="s">
        <v>31</v>
      </c>
      <c r="E549" s="17" t="s">
        <v>32</v>
      </c>
      <c r="F549" s="17" t="s">
        <v>33</v>
      </c>
      <c r="G549">
        <v>3</v>
      </c>
      <c r="H549">
        <v>25000</v>
      </c>
      <c r="I549">
        <v>11000</v>
      </c>
      <c r="J549">
        <v>7500</v>
      </c>
      <c r="K549" s="17">
        <f>(Fact_Ventas_Detalle[[#This Row],[Cantidad]]*Fact_Ventas_Detalle[[#This Row],[Precio Unitario]])-Fact_Ventas_Detalle[[#This Row],[Descuento Linea]]</f>
        <v>67500</v>
      </c>
    </row>
    <row r="550" spans="1:11" x14ac:dyDescent="0.25">
      <c r="A550">
        <v>46</v>
      </c>
      <c r="B550" s="17" t="s">
        <v>181</v>
      </c>
      <c r="C550">
        <v>2</v>
      </c>
      <c r="D550" s="17" t="s">
        <v>39</v>
      </c>
      <c r="E550" s="17" t="s">
        <v>40</v>
      </c>
      <c r="F550" s="17" t="s">
        <v>14</v>
      </c>
      <c r="G550">
        <v>1</v>
      </c>
      <c r="H550">
        <v>75000</v>
      </c>
      <c r="I550">
        <v>42000</v>
      </c>
      <c r="J550">
        <v>3750</v>
      </c>
      <c r="K550" s="17">
        <f>(Fact_Ventas_Detalle[[#This Row],[Cantidad]]*Fact_Ventas_Detalle[[#This Row],[Precio Unitario]])-Fact_Ventas_Detalle[[#This Row],[Descuento Linea]]</f>
        <v>71250</v>
      </c>
    </row>
    <row r="551" spans="1:11" x14ac:dyDescent="0.25">
      <c r="A551">
        <v>46</v>
      </c>
      <c r="B551" s="17" t="s">
        <v>183</v>
      </c>
      <c r="C551">
        <v>1</v>
      </c>
      <c r="D551" s="17" t="s">
        <v>37</v>
      </c>
      <c r="E551" s="17" t="s">
        <v>38</v>
      </c>
      <c r="F551" s="17" t="s">
        <v>33</v>
      </c>
      <c r="G551">
        <v>2</v>
      </c>
      <c r="H551">
        <v>45000</v>
      </c>
      <c r="I551">
        <v>22000</v>
      </c>
      <c r="J551">
        <v>4500</v>
      </c>
      <c r="K551" s="17">
        <f>(Fact_Ventas_Detalle[[#This Row],[Cantidad]]*Fact_Ventas_Detalle[[#This Row],[Precio Unitario]])-Fact_Ventas_Detalle[[#This Row],[Descuento Linea]]</f>
        <v>85500</v>
      </c>
    </row>
    <row r="552" spans="1:11" x14ac:dyDescent="0.25">
      <c r="A552">
        <v>46</v>
      </c>
      <c r="B552" s="17" t="s">
        <v>184</v>
      </c>
      <c r="C552">
        <v>1</v>
      </c>
      <c r="D552" s="17" t="s">
        <v>42</v>
      </c>
      <c r="E552" s="17" t="s">
        <v>43</v>
      </c>
      <c r="F552" s="17" t="s">
        <v>29</v>
      </c>
      <c r="G552">
        <v>1</v>
      </c>
      <c r="H552">
        <v>185000</v>
      </c>
      <c r="I552">
        <v>115000</v>
      </c>
      <c r="J552">
        <v>18500</v>
      </c>
      <c r="K552" s="17">
        <f>(Fact_Ventas_Detalle[[#This Row],[Cantidad]]*Fact_Ventas_Detalle[[#This Row],[Precio Unitario]])-Fact_Ventas_Detalle[[#This Row],[Descuento Linea]]</f>
        <v>166500</v>
      </c>
    </row>
    <row r="553" spans="1:11" x14ac:dyDescent="0.25">
      <c r="A553">
        <v>46</v>
      </c>
      <c r="B553" s="17" t="s">
        <v>185</v>
      </c>
      <c r="C553">
        <v>1</v>
      </c>
      <c r="D553" s="17" t="s">
        <v>37</v>
      </c>
      <c r="E553" s="17" t="s">
        <v>38</v>
      </c>
      <c r="F553" s="17" t="s">
        <v>33</v>
      </c>
      <c r="G553">
        <v>1</v>
      </c>
      <c r="H553">
        <v>45000</v>
      </c>
      <c r="I553">
        <v>22000</v>
      </c>
      <c r="J553">
        <v>2250</v>
      </c>
      <c r="K553" s="17">
        <f>(Fact_Ventas_Detalle[[#This Row],[Cantidad]]*Fact_Ventas_Detalle[[#This Row],[Precio Unitario]])-Fact_Ventas_Detalle[[#This Row],[Descuento Linea]]</f>
        <v>42750</v>
      </c>
    </row>
    <row r="554" spans="1:11" x14ac:dyDescent="0.25">
      <c r="A554">
        <v>47</v>
      </c>
      <c r="B554" s="17" t="s">
        <v>186</v>
      </c>
      <c r="C554">
        <v>1</v>
      </c>
      <c r="D554" s="17" t="s">
        <v>27</v>
      </c>
      <c r="E554" s="17" t="s">
        <v>28</v>
      </c>
      <c r="F554" s="17" t="s">
        <v>29</v>
      </c>
      <c r="G554">
        <v>3</v>
      </c>
      <c r="H554">
        <v>240000</v>
      </c>
      <c r="I554">
        <v>150000</v>
      </c>
      <c r="J554">
        <v>0</v>
      </c>
      <c r="K554" s="17">
        <f>(Fact_Ventas_Detalle[[#This Row],[Cantidad]]*Fact_Ventas_Detalle[[#This Row],[Precio Unitario]])-Fact_Ventas_Detalle[[#This Row],[Descuento Linea]]</f>
        <v>720000</v>
      </c>
    </row>
    <row r="555" spans="1:11" x14ac:dyDescent="0.25">
      <c r="A555">
        <v>47</v>
      </c>
      <c r="B555" s="17" t="s">
        <v>187</v>
      </c>
      <c r="C555">
        <v>1</v>
      </c>
      <c r="D555" s="17" t="s">
        <v>37</v>
      </c>
      <c r="E555" s="17" t="s">
        <v>38</v>
      </c>
      <c r="F555" s="17" t="s">
        <v>33</v>
      </c>
      <c r="G555">
        <v>3</v>
      </c>
      <c r="H555">
        <v>45000</v>
      </c>
      <c r="I555">
        <v>22000</v>
      </c>
      <c r="J555">
        <v>0</v>
      </c>
      <c r="K555" s="17">
        <f>(Fact_Ventas_Detalle[[#This Row],[Cantidad]]*Fact_Ventas_Detalle[[#This Row],[Precio Unitario]])-Fact_Ventas_Detalle[[#This Row],[Descuento Linea]]</f>
        <v>135000</v>
      </c>
    </row>
    <row r="556" spans="1:11" x14ac:dyDescent="0.25">
      <c r="A556">
        <v>47</v>
      </c>
      <c r="B556" s="17" t="s">
        <v>555</v>
      </c>
      <c r="C556">
        <v>1</v>
      </c>
      <c r="D556" s="17" t="s">
        <v>27</v>
      </c>
      <c r="E556" s="17" t="s">
        <v>28</v>
      </c>
      <c r="F556" s="17" t="s">
        <v>29</v>
      </c>
      <c r="G556">
        <v>1</v>
      </c>
      <c r="H556">
        <v>240000</v>
      </c>
      <c r="I556">
        <v>150000</v>
      </c>
      <c r="J556">
        <v>0</v>
      </c>
      <c r="K556" s="17">
        <f>(Fact_Ventas_Detalle[[#This Row],[Cantidad]]*Fact_Ventas_Detalle[[#This Row],[Precio Unitario]])-Fact_Ventas_Detalle[[#This Row],[Descuento Linea]]</f>
        <v>240000</v>
      </c>
    </row>
    <row r="557" spans="1:11" x14ac:dyDescent="0.25">
      <c r="A557">
        <v>47</v>
      </c>
      <c r="B557" s="17" t="s">
        <v>182</v>
      </c>
      <c r="C557">
        <v>2</v>
      </c>
      <c r="D557" s="17" t="s">
        <v>17</v>
      </c>
      <c r="E557" s="17" t="s">
        <v>18</v>
      </c>
      <c r="F557" s="17" t="s">
        <v>19</v>
      </c>
      <c r="G557">
        <v>2</v>
      </c>
      <c r="H557">
        <v>65000</v>
      </c>
      <c r="I557">
        <v>35000</v>
      </c>
      <c r="J557">
        <v>0</v>
      </c>
      <c r="K557" s="17">
        <f>(Fact_Ventas_Detalle[[#This Row],[Cantidad]]*Fact_Ventas_Detalle[[#This Row],[Precio Unitario]])-Fact_Ventas_Detalle[[#This Row],[Descuento Linea]]</f>
        <v>130000</v>
      </c>
    </row>
    <row r="558" spans="1:11" x14ac:dyDescent="0.25">
      <c r="A558">
        <v>47</v>
      </c>
      <c r="B558" s="17" t="s">
        <v>835</v>
      </c>
      <c r="C558">
        <v>2</v>
      </c>
      <c r="D558" s="17" t="s">
        <v>12</v>
      </c>
      <c r="E558" s="17" t="s">
        <v>13</v>
      </c>
      <c r="F558" s="17" t="s">
        <v>14</v>
      </c>
      <c r="G558">
        <v>2</v>
      </c>
      <c r="H558">
        <v>280000</v>
      </c>
      <c r="I558">
        <v>190000</v>
      </c>
      <c r="J558">
        <v>0</v>
      </c>
      <c r="K558" s="17">
        <f>(Fact_Ventas_Detalle[[#This Row],[Cantidad]]*Fact_Ventas_Detalle[[#This Row],[Precio Unitario]])-Fact_Ventas_Detalle[[#This Row],[Descuento Linea]]</f>
        <v>560000</v>
      </c>
    </row>
    <row r="559" spans="1:11" x14ac:dyDescent="0.25">
      <c r="A559">
        <v>47</v>
      </c>
      <c r="B559" s="17" t="s">
        <v>180</v>
      </c>
      <c r="C559">
        <v>3</v>
      </c>
      <c r="D559" s="17" t="s">
        <v>37</v>
      </c>
      <c r="E559" s="17" t="s">
        <v>38</v>
      </c>
      <c r="F559" s="17" t="s">
        <v>33</v>
      </c>
      <c r="G559">
        <v>2</v>
      </c>
      <c r="H559">
        <v>45000</v>
      </c>
      <c r="I559">
        <v>22000</v>
      </c>
      <c r="J559">
        <v>0</v>
      </c>
      <c r="K559" s="17">
        <f>(Fact_Ventas_Detalle[[#This Row],[Cantidad]]*Fact_Ventas_Detalle[[#This Row],[Precio Unitario]])-Fact_Ventas_Detalle[[#This Row],[Descuento Linea]]</f>
        <v>90000</v>
      </c>
    </row>
    <row r="560" spans="1:11" x14ac:dyDescent="0.25">
      <c r="A560">
        <v>47</v>
      </c>
      <c r="B560" s="17" t="s">
        <v>181</v>
      </c>
      <c r="C560">
        <v>3</v>
      </c>
      <c r="D560" s="17" t="s">
        <v>42</v>
      </c>
      <c r="E560" s="17" t="s">
        <v>43</v>
      </c>
      <c r="F560" s="17" t="s">
        <v>29</v>
      </c>
      <c r="G560">
        <v>2</v>
      </c>
      <c r="H560">
        <v>185000</v>
      </c>
      <c r="I560">
        <v>115000</v>
      </c>
      <c r="J560">
        <v>0</v>
      </c>
      <c r="K560" s="17">
        <f>(Fact_Ventas_Detalle[[#This Row],[Cantidad]]*Fact_Ventas_Detalle[[#This Row],[Precio Unitario]])-Fact_Ventas_Detalle[[#This Row],[Descuento Linea]]</f>
        <v>370000</v>
      </c>
    </row>
    <row r="561" spans="1:11" x14ac:dyDescent="0.25">
      <c r="A561">
        <v>47</v>
      </c>
      <c r="B561" s="17" t="s">
        <v>183</v>
      </c>
      <c r="C561">
        <v>2</v>
      </c>
      <c r="D561" s="17" t="s">
        <v>24</v>
      </c>
      <c r="E561" s="17" t="s">
        <v>25</v>
      </c>
      <c r="F561" s="17" t="s">
        <v>14</v>
      </c>
      <c r="G561">
        <v>3</v>
      </c>
      <c r="H561">
        <v>850000</v>
      </c>
      <c r="I561">
        <v>620000</v>
      </c>
      <c r="J561">
        <v>127500</v>
      </c>
      <c r="K561" s="17">
        <f>(Fact_Ventas_Detalle[[#This Row],[Cantidad]]*Fact_Ventas_Detalle[[#This Row],[Precio Unitario]])-Fact_Ventas_Detalle[[#This Row],[Descuento Linea]]</f>
        <v>2422500</v>
      </c>
    </row>
    <row r="562" spans="1:11" x14ac:dyDescent="0.25">
      <c r="A562">
        <v>47</v>
      </c>
      <c r="B562" s="17" t="s">
        <v>184</v>
      </c>
      <c r="C562">
        <v>2</v>
      </c>
      <c r="D562" s="17" t="s">
        <v>31</v>
      </c>
      <c r="E562" s="17" t="s">
        <v>32</v>
      </c>
      <c r="F562" s="17" t="s">
        <v>33</v>
      </c>
      <c r="G562">
        <v>2</v>
      </c>
      <c r="H562">
        <v>25000</v>
      </c>
      <c r="I562">
        <v>11000</v>
      </c>
      <c r="J562">
        <v>2500</v>
      </c>
      <c r="K562" s="17">
        <f>(Fact_Ventas_Detalle[[#This Row],[Cantidad]]*Fact_Ventas_Detalle[[#This Row],[Precio Unitario]])-Fact_Ventas_Detalle[[#This Row],[Descuento Linea]]</f>
        <v>47500</v>
      </c>
    </row>
    <row r="563" spans="1:11" x14ac:dyDescent="0.25">
      <c r="A563">
        <v>47</v>
      </c>
      <c r="B563" s="17" t="s">
        <v>185</v>
      </c>
      <c r="C563">
        <v>2</v>
      </c>
      <c r="D563" s="17" t="s">
        <v>42</v>
      </c>
      <c r="E563" s="17" t="s">
        <v>43</v>
      </c>
      <c r="F563" s="17" t="s">
        <v>29</v>
      </c>
      <c r="G563">
        <v>1</v>
      </c>
      <c r="H563">
        <v>185000</v>
      </c>
      <c r="I563">
        <v>115000</v>
      </c>
      <c r="J563">
        <v>18500</v>
      </c>
      <c r="K563" s="17">
        <f>(Fact_Ventas_Detalle[[#This Row],[Cantidad]]*Fact_Ventas_Detalle[[#This Row],[Precio Unitario]])-Fact_Ventas_Detalle[[#This Row],[Descuento Linea]]</f>
        <v>166500</v>
      </c>
    </row>
    <row r="564" spans="1:11" x14ac:dyDescent="0.25">
      <c r="A564">
        <v>47</v>
      </c>
      <c r="B564" s="17" t="s">
        <v>698</v>
      </c>
      <c r="C564">
        <v>2</v>
      </c>
      <c r="D564" s="17" t="s">
        <v>17</v>
      </c>
      <c r="E564" s="17" t="s">
        <v>18</v>
      </c>
      <c r="F564" s="17" t="s">
        <v>19</v>
      </c>
      <c r="G564">
        <v>3</v>
      </c>
      <c r="H564">
        <v>65000</v>
      </c>
      <c r="I564">
        <v>35000</v>
      </c>
      <c r="J564">
        <v>9750</v>
      </c>
      <c r="K564" s="17">
        <f>(Fact_Ventas_Detalle[[#This Row],[Cantidad]]*Fact_Ventas_Detalle[[#This Row],[Precio Unitario]])-Fact_Ventas_Detalle[[#This Row],[Descuento Linea]]</f>
        <v>185250</v>
      </c>
    </row>
    <row r="565" spans="1:11" x14ac:dyDescent="0.25">
      <c r="A565">
        <v>47</v>
      </c>
      <c r="B565" s="17" t="s">
        <v>414</v>
      </c>
      <c r="C565">
        <v>1</v>
      </c>
      <c r="D565" s="17" t="s">
        <v>12</v>
      </c>
      <c r="E565" s="17" t="s">
        <v>13</v>
      </c>
      <c r="F565" s="17" t="s">
        <v>14</v>
      </c>
      <c r="G565">
        <v>3</v>
      </c>
      <c r="H565">
        <v>280000</v>
      </c>
      <c r="I565">
        <v>190000</v>
      </c>
      <c r="J565">
        <v>84000</v>
      </c>
      <c r="K565" s="17">
        <f>(Fact_Ventas_Detalle[[#This Row],[Cantidad]]*Fact_Ventas_Detalle[[#This Row],[Precio Unitario]])-Fact_Ventas_Detalle[[#This Row],[Descuento Linea]]</f>
        <v>756000</v>
      </c>
    </row>
    <row r="566" spans="1:11" x14ac:dyDescent="0.25">
      <c r="A566">
        <v>48</v>
      </c>
      <c r="B566" s="17" t="s">
        <v>189</v>
      </c>
      <c r="C566">
        <v>1</v>
      </c>
      <c r="D566" s="17" t="s">
        <v>31</v>
      </c>
      <c r="E566" s="17" t="s">
        <v>32</v>
      </c>
      <c r="F566" s="17" t="s">
        <v>33</v>
      </c>
      <c r="G566">
        <v>3</v>
      </c>
      <c r="H566">
        <v>25000</v>
      </c>
      <c r="I566">
        <v>11000</v>
      </c>
      <c r="J566">
        <v>0</v>
      </c>
      <c r="K566" s="17">
        <f>(Fact_Ventas_Detalle[[#This Row],[Cantidad]]*Fact_Ventas_Detalle[[#This Row],[Precio Unitario]])-Fact_Ventas_Detalle[[#This Row],[Descuento Linea]]</f>
        <v>75000</v>
      </c>
    </row>
    <row r="567" spans="1:11" x14ac:dyDescent="0.25">
      <c r="A567">
        <v>48</v>
      </c>
      <c r="B567" s="17" t="s">
        <v>188</v>
      </c>
      <c r="C567">
        <v>1</v>
      </c>
      <c r="D567" s="17" t="s">
        <v>42</v>
      </c>
      <c r="E567" s="17" t="s">
        <v>43</v>
      </c>
      <c r="F567" s="17" t="s">
        <v>29</v>
      </c>
      <c r="G567">
        <v>2</v>
      </c>
      <c r="H567">
        <v>185000</v>
      </c>
      <c r="I567">
        <v>115000</v>
      </c>
      <c r="J567">
        <v>0</v>
      </c>
      <c r="K567" s="17">
        <f>(Fact_Ventas_Detalle[[#This Row],[Cantidad]]*Fact_Ventas_Detalle[[#This Row],[Precio Unitario]])-Fact_Ventas_Detalle[[#This Row],[Descuento Linea]]</f>
        <v>370000</v>
      </c>
    </row>
    <row r="568" spans="1:11" x14ac:dyDescent="0.25">
      <c r="A568">
        <v>48</v>
      </c>
      <c r="B568" s="17" t="s">
        <v>414</v>
      </c>
      <c r="C568">
        <v>2</v>
      </c>
      <c r="D568" s="17" t="s">
        <v>37</v>
      </c>
      <c r="E568" s="17" t="s">
        <v>38</v>
      </c>
      <c r="F568" s="17" t="s">
        <v>33</v>
      </c>
      <c r="G568">
        <v>1</v>
      </c>
      <c r="H568">
        <v>45000</v>
      </c>
      <c r="I568">
        <v>22000</v>
      </c>
      <c r="J568">
        <v>0</v>
      </c>
      <c r="K568" s="17">
        <f>(Fact_Ventas_Detalle[[#This Row],[Cantidad]]*Fact_Ventas_Detalle[[#This Row],[Precio Unitario]])-Fact_Ventas_Detalle[[#This Row],[Descuento Linea]]</f>
        <v>45000</v>
      </c>
    </row>
    <row r="569" spans="1:11" x14ac:dyDescent="0.25">
      <c r="A569">
        <v>48</v>
      </c>
      <c r="B569" s="17" t="s">
        <v>698</v>
      </c>
      <c r="C569">
        <v>3</v>
      </c>
      <c r="D569" s="17" t="s">
        <v>24</v>
      </c>
      <c r="E569" s="17" t="s">
        <v>25</v>
      </c>
      <c r="F569" s="17" t="s">
        <v>14</v>
      </c>
      <c r="G569">
        <v>3</v>
      </c>
      <c r="H569">
        <v>850000</v>
      </c>
      <c r="I569">
        <v>620000</v>
      </c>
      <c r="J569">
        <v>0</v>
      </c>
      <c r="K569" s="17">
        <f>(Fact_Ventas_Detalle[[#This Row],[Cantidad]]*Fact_Ventas_Detalle[[#This Row],[Precio Unitario]])-Fact_Ventas_Detalle[[#This Row],[Descuento Linea]]</f>
        <v>2550000</v>
      </c>
    </row>
    <row r="570" spans="1:11" x14ac:dyDescent="0.25">
      <c r="A570">
        <v>48</v>
      </c>
      <c r="B570" s="17" t="s">
        <v>835</v>
      </c>
      <c r="C570">
        <v>3</v>
      </c>
      <c r="D570" s="17" t="s">
        <v>24</v>
      </c>
      <c r="E570" s="17" t="s">
        <v>25</v>
      </c>
      <c r="F570" s="17" t="s">
        <v>14</v>
      </c>
      <c r="G570">
        <v>2</v>
      </c>
      <c r="H570">
        <v>850000</v>
      </c>
      <c r="I570">
        <v>620000</v>
      </c>
      <c r="J570">
        <v>0</v>
      </c>
      <c r="K570" s="17">
        <f>(Fact_Ventas_Detalle[[#This Row],[Cantidad]]*Fact_Ventas_Detalle[[#This Row],[Precio Unitario]])-Fact_Ventas_Detalle[[#This Row],[Descuento Linea]]</f>
        <v>1700000</v>
      </c>
    </row>
    <row r="571" spans="1:11" x14ac:dyDescent="0.25">
      <c r="A571">
        <v>48</v>
      </c>
      <c r="B571" s="17" t="s">
        <v>181</v>
      </c>
      <c r="C571">
        <v>4</v>
      </c>
      <c r="D571" s="17" t="s">
        <v>12</v>
      </c>
      <c r="E571" s="17" t="s">
        <v>13</v>
      </c>
      <c r="F571" s="17" t="s">
        <v>14</v>
      </c>
      <c r="G571">
        <v>3</v>
      </c>
      <c r="H571">
        <v>280000</v>
      </c>
      <c r="I571">
        <v>190000</v>
      </c>
      <c r="J571">
        <v>0</v>
      </c>
      <c r="K571" s="17">
        <f>(Fact_Ventas_Detalle[[#This Row],[Cantidad]]*Fact_Ventas_Detalle[[#This Row],[Precio Unitario]])-Fact_Ventas_Detalle[[#This Row],[Descuento Linea]]</f>
        <v>840000</v>
      </c>
    </row>
    <row r="572" spans="1:11" x14ac:dyDescent="0.25">
      <c r="A572">
        <v>48</v>
      </c>
      <c r="B572" s="17" t="s">
        <v>183</v>
      </c>
      <c r="C572">
        <v>3</v>
      </c>
      <c r="D572" s="17" t="s">
        <v>12</v>
      </c>
      <c r="E572" s="17" t="s">
        <v>13</v>
      </c>
      <c r="F572" s="17" t="s">
        <v>14</v>
      </c>
      <c r="G572">
        <v>1</v>
      </c>
      <c r="H572">
        <v>280000</v>
      </c>
      <c r="I572">
        <v>190000</v>
      </c>
      <c r="J572">
        <v>14000</v>
      </c>
      <c r="K572" s="17">
        <f>(Fact_Ventas_Detalle[[#This Row],[Cantidad]]*Fact_Ventas_Detalle[[#This Row],[Precio Unitario]])-Fact_Ventas_Detalle[[#This Row],[Descuento Linea]]</f>
        <v>266000</v>
      </c>
    </row>
    <row r="573" spans="1:11" x14ac:dyDescent="0.25">
      <c r="A573">
        <v>48</v>
      </c>
      <c r="B573" s="17" t="s">
        <v>184</v>
      </c>
      <c r="C573">
        <v>3</v>
      </c>
      <c r="D573" s="17" t="s">
        <v>42</v>
      </c>
      <c r="E573" s="17" t="s">
        <v>43</v>
      </c>
      <c r="F573" s="17" t="s">
        <v>29</v>
      </c>
      <c r="G573">
        <v>2</v>
      </c>
      <c r="H573">
        <v>185000</v>
      </c>
      <c r="I573">
        <v>115000</v>
      </c>
      <c r="J573">
        <v>18500</v>
      </c>
      <c r="K573" s="17">
        <f>(Fact_Ventas_Detalle[[#This Row],[Cantidad]]*Fact_Ventas_Detalle[[#This Row],[Precio Unitario]])-Fact_Ventas_Detalle[[#This Row],[Descuento Linea]]</f>
        <v>351500</v>
      </c>
    </row>
    <row r="574" spans="1:11" x14ac:dyDescent="0.25">
      <c r="A574">
        <v>48</v>
      </c>
      <c r="B574" s="17" t="s">
        <v>185</v>
      </c>
      <c r="C574">
        <v>3</v>
      </c>
      <c r="D574" s="17" t="s">
        <v>39</v>
      </c>
      <c r="E574" s="17" t="s">
        <v>40</v>
      </c>
      <c r="F574" s="17" t="s">
        <v>14</v>
      </c>
      <c r="G574">
        <v>3</v>
      </c>
      <c r="H574">
        <v>75000</v>
      </c>
      <c r="I574">
        <v>42000</v>
      </c>
      <c r="J574">
        <v>22500</v>
      </c>
      <c r="K574" s="17">
        <f>(Fact_Ventas_Detalle[[#This Row],[Cantidad]]*Fact_Ventas_Detalle[[#This Row],[Precio Unitario]])-Fact_Ventas_Detalle[[#This Row],[Descuento Linea]]</f>
        <v>202500</v>
      </c>
    </row>
    <row r="575" spans="1:11" x14ac:dyDescent="0.25">
      <c r="A575">
        <v>48</v>
      </c>
      <c r="B575" s="17" t="s">
        <v>186</v>
      </c>
      <c r="C575">
        <v>2</v>
      </c>
      <c r="D575" s="17" t="s">
        <v>42</v>
      </c>
      <c r="E575" s="17" t="s">
        <v>43</v>
      </c>
      <c r="F575" s="17" t="s">
        <v>29</v>
      </c>
      <c r="G575">
        <v>2</v>
      </c>
      <c r="H575">
        <v>185000</v>
      </c>
      <c r="I575">
        <v>115000</v>
      </c>
      <c r="J575">
        <v>18500</v>
      </c>
      <c r="K575" s="17">
        <f>(Fact_Ventas_Detalle[[#This Row],[Cantidad]]*Fact_Ventas_Detalle[[#This Row],[Precio Unitario]])-Fact_Ventas_Detalle[[#This Row],[Descuento Linea]]</f>
        <v>351500</v>
      </c>
    </row>
    <row r="576" spans="1:11" x14ac:dyDescent="0.25">
      <c r="A576">
        <v>48</v>
      </c>
      <c r="B576" s="17" t="s">
        <v>555</v>
      </c>
      <c r="C576">
        <v>2</v>
      </c>
      <c r="D576" s="17" t="s">
        <v>37</v>
      </c>
      <c r="E576" s="17" t="s">
        <v>38</v>
      </c>
      <c r="F576" s="17" t="s">
        <v>33</v>
      </c>
      <c r="G576">
        <v>3</v>
      </c>
      <c r="H576">
        <v>45000</v>
      </c>
      <c r="I576">
        <v>22000</v>
      </c>
      <c r="J576">
        <v>13500</v>
      </c>
      <c r="K576" s="17">
        <f>(Fact_Ventas_Detalle[[#This Row],[Cantidad]]*Fact_Ventas_Detalle[[#This Row],[Precio Unitario]])-Fact_Ventas_Detalle[[#This Row],[Descuento Linea]]</f>
        <v>121500</v>
      </c>
    </row>
    <row r="577" spans="1:11" x14ac:dyDescent="0.25">
      <c r="A577">
        <v>48</v>
      </c>
      <c r="B577" s="17" t="s">
        <v>190</v>
      </c>
      <c r="C577">
        <v>1</v>
      </c>
      <c r="D577" s="17" t="s">
        <v>31</v>
      </c>
      <c r="E577" s="17" t="s">
        <v>32</v>
      </c>
      <c r="F577" s="17" t="s">
        <v>33</v>
      </c>
      <c r="G577">
        <v>3</v>
      </c>
      <c r="H577">
        <v>25000</v>
      </c>
      <c r="I577">
        <v>11000</v>
      </c>
      <c r="J577">
        <v>7500</v>
      </c>
      <c r="K577" s="17">
        <f>(Fact_Ventas_Detalle[[#This Row],[Cantidad]]*Fact_Ventas_Detalle[[#This Row],[Precio Unitario]])-Fact_Ventas_Detalle[[#This Row],[Descuento Linea]]</f>
        <v>67500</v>
      </c>
    </row>
    <row r="578" spans="1:11" x14ac:dyDescent="0.25">
      <c r="A578">
        <v>49</v>
      </c>
      <c r="B578" s="17" t="s">
        <v>619</v>
      </c>
      <c r="C578">
        <v>1</v>
      </c>
      <c r="D578" s="17" t="s">
        <v>39</v>
      </c>
      <c r="E578" s="17" t="s">
        <v>40</v>
      </c>
      <c r="F578" s="17" t="s">
        <v>14</v>
      </c>
      <c r="G578">
        <v>1</v>
      </c>
      <c r="H578">
        <v>75000</v>
      </c>
      <c r="I578">
        <v>42000</v>
      </c>
      <c r="J578">
        <v>0</v>
      </c>
      <c r="K578" s="17">
        <f>(Fact_Ventas_Detalle[[#This Row],[Cantidad]]*Fact_Ventas_Detalle[[#This Row],[Precio Unitario]])-Fact_Ventas_Detalle[[#This Row],[Descuento Linea]]</f>
        <v>75000</v>
      </c>
    </row>
    <row r="579" spans="1:11" x14ac:dyDescent="0.25">
      <c r="A579">
        <v>49</v>
      </c>
      <c r="B579" s="17" t="s">
        <v>188</v>
      </c>
      <c r="C579">
        <v>2</v>
      </c>
      <c r="D579" s="17" t="s">
        <v>12</v>
      </c>
      <c r="E579" s="17" t="s">
        <v>13</v>
      </c>
      <c r="F579" s="17" t="s">
        <v>14</v>
      </c>
      <c r="G579">
        <v>2</v>
      </c>
      <c r="H579">
        <v>280000</v>
      </c>
      <c r="I579">
        <v>190000</v>
      </c>
      <c r="J579">
        <v>0</v>
      </c>
      <c r="K579" s="17">
        <f>(Fact_Ventas_Detalle[[#This Row],[Cantidad]]*Fact_Ventas_Detalle[[#This Row],[Precio Unitario]])-Fact_Ventas_Detalle[[#This Row],[Descuento Linea]]</f>
        <v>560000</v>
      </c>
    </row>
    <row r="580" spans="1:11" x14ac:dyDescent="0.25">
      <c r="A580">
        <v>49</v>
      </c>
      <c r="B580" s="17" t="s">
        <v>186</v>
      </c>
      <c r="C580">
        <v>3</v>
      </c>
      <c r="D580" s="17" t="s">
        <v>17</v>
      </c>
      <c r="E580" s="17" t="s">
        <v>18</v>
      </c>
      <c r="F580" s="17" t="s">
        <v>19</v>
      </c>
      <c r="G580">
        <v>2</v>
      </c>
      <c r="H580">
        <v>65000</v>
      </c>
      <c r="I580">
        <v>35000</v>
      </c>
      <c r="J580">
        <v>0</v>
      </c>
      <c r="K580" s="17">
        <f>(Fact_Ventas_Detalle[[#This Row],[Cantidad]]*Fact_Ventas_Detalle[[#This Row],[Precio Unitario]])-Fact_Ventas_Detalle[[#This Row],[Descuento Linea]]</f>
        <v>130000</v>
      </c>
    </row>
    <row r="581" spans="1:11" x14ac:dyDescent="0.25">
      <c r="A581">
        <v>49</v>
      </c>
      <c r="B581" s="17" t="s">
        <v>184</v>
      </c>
      <c r="C581">
        <v>4</v>
      </c>
      <c r="D581" s="17" t="s">
        <v>24</v>
      </c>
      <c r="E581" s="17" t="s">
        <v>25</v>
      </c>
      <c r="F581" s="17" t="s">
        <v>14</v>
      </c>
      <c r="G581">
        <v>3</v>
      </c>
      <c r="H581">
        <v>850000</v>
      </c>
      <c r="I581">
        <v>620000</v>
      </c>
      <c r="J581">
        <v>0</v>
      </c>
      <c r="K581" s="17">
        <f>(Fact_Ventas_Detalle[[#This Row],[Cantidad]]*Fact_Ventas_Detalle[[#This Row],[Precio Unitario]])-Fact_Ventas_Detalle[[#This Row],[Descuento Linea]]</f>
        <v>2550000</v>
      </c>
    </row>
    <row r="582" spans="1:11" x14ac:dyDescent="0.25">
      <c r="A582">
        <v>49</v>
      </c>
      <c r="B582" s="17" t="s">
        <v>185</v>
      </c>
      <c r="C582">
        <v>4</v>
      </c>
      <c r="D582" s="17" t="s">
        <v>24</v>
      </c>
      <c r="E582" s="17" t="s">
        <v>25</v>
      </c>
      <c r="F582" s="17" t="s">
        <v>14</v>
      </c>
      <c r="G582">
        <v>3</v>
      </c>
      <c r="H582">
        <v>850000</v>
      </c>
      <c r="I582">
        <v>620000</v>
      </c>
      <c r="J582">
        <v>0</v>
      </c>
      <c r="K582" s="17">
        <f>(Fact_Ventas_Detalle[[#This Row],[Cantidad]]*Fact_Ventas_Detalle[[#This Row],[Precio Unitario]])-Fact_Ventas_Detalle[[#This Row],[Descuento Linea]]</f>
        <v>2550000</v>
      </c>
    </row>
    <row r="583" spans="1:11" x14ac:dyDescent="0.25">
      <c r="A583">
        <v>49</v>
      </c>
      <c r="B583" s="17" t="s">
        <v>698</v>
      </c>
      <c r="C583">
        <v>4</v>
      </c>
      <c r="D583" s="17" t="s">
        <v>27</v>
      </c>
      <c r="E583" s="17" t="s">
        <v>28</v>
      </c>
      <c r="F583" s="17" t="s">
        <v>29</v>
      </c>
      <c r="G583">
        <v>3</v>
      </c>
      <c r="H583">
        <v>240000</v>
      </c>
      <c r="I583">
        <v>150000</v>
      </c>
      <c r="J583">
        <v>0</v>
      </c>
      <c r="K583" s="17">
        <f>(Fact_Ventas_Detalle[[#This Row],[Cantidad]]*Fact_Ventas_Detalle[[#This Row],[Precio Unitario]])-Fact_Ventas_Detalle[[#This Row],[Descuento Linea]]</f>
        <v>720000</v>
      </c>
    </row>
    <row r="584" spans="1:11" x14ac:dyDescent="0.25">
      <c r="A584">
        <v>49</v>
      </c>
      <c r="B584" s="17" t="s">
        <v>190</v>
      </c>
      <c r="C584">
        <v>2</v>
      </c>
      <c r="D584" s="17" t="s">
        <v>24</v>
      </c>
      <c r="E584" s="17" t="s">
        <v>25</v>
      </c>
      <c r="F584" s="17" t="s">
        <v>14</v>
      </c>
      <c r="G584">
        <v>2</v>
      </c>
      <c r="H584">
        <v>850000</v>
      </c>
      <c r="I584">
        <v>620000</v>
      </c>
      <c r="J584">
        <v>85000</v>
      </c>
      <c r="K584" s="17">
        <f>(Fact_Ventas_Detalle[[#This Row],[Cantidad]]*Fact_Ventas_Detalle[[#This Row],[Precio Unitario]])-Fact_Ventas_Detalle[[#This Row],[Descuento Linea]]</f>
        <v>1615000</v>
      </c>
    </row>
    <row r="585" spans="1:11" x14ac:dyDescent="0.25">
      <c r="A585">
        <v>49</v>
      </c>
      <c r="B585" s="17" t="s">
        <v>192</v>
      </c>
      <c r="C585">
        <v>1</v>
      </c>
      <c r="D585" s="17" t="s">
        <v>17</v>
      </c>
      <c r="E585" s="17" t="s">
        <v>18</v>
      </c>
      <c r="F585" s="17" t="s">
        <v>19</v>
      </c>
      <c r="G585">
        <v>2</v>
      </c>
      <c r="H585">
        <v>65000</v>
      </c>
      <c r="I585">
        <v>35000</v>
      </c>
      <c r="J585">
        <v>6500</v>
      </c>
      <c r="K585" s="17">
        <f>(Fact_Ventas_Detalle[[#This Row],[Cantidad]]*Fact_Ventas_Detalle[[#This Row],[Precio Unitario]])-Fact_Ventas_Detalle[[#This Row],[Descuento Linea]]</f>
        <v>123500</v>
      </c>
    </row>
    <row r="586" spans="1:11" x14ac:dyDescent="0.25">
      <c r="A586">
        <v>49</v>
      </c>
      <c r="B586" s="17" t="s">
        <v>193</v>
      </c>
      <c r="C586">
        <v>1</v>
      </c>
      <c r="D586" s="17" t="s">
        <v>37</v>
      </c>
      <c r="E586" s="17" t="s">
        <v>38</v>
      </c>
      <c r="F586" s="17" t="s">
        <v>33</v>
      </c>
      <c r="G586">
        <v>2</v>
      </c>
      <c r="H586">
        <v>45000</v>
      </c>
      <c r="I586">
        <v>22000</v>
      </c>
      <c r="J586">
        <v>4500</v>
      </c>
      <c r="K586" s="17">
        <f>(Fact_Ventas_Detalle[[#This Row],[Cantidad]]*Fact_Ventas_Detalle[[#This Row],[Precio Unitario]])-Fact_Ventas_Detalle[[#This Row],[Descuento Linea]]</f>
        <v>85500</v>
      </c>
    </row>
    <row r="587" spans="1:11" x14ac:dyDescent="0.25">
      <c r="A587">
        <v>49</v>
      </c>
      <c r="B587" s="17" t="s">
        <v>191</v>
      </c>
      <c r="C587">
        <v>1</v>
      </c>
      <c r="D587" s="17" t="s">
        <v>31</v>
      </c>
      <c r="E587" s="17" t="s">
        <v>32</v>
      </c>
      <c r="F587" s="17" t="s">
        <v>33</v>
      </c>
      <c r="G587">
        <v>3</v>
      </c>
      <c r="H587">
        <v>25000</v>
      </c>
      <c r="I587">
        <v>11000</v>
      </c>
      <c r="J587">
        <v>3750</v>
      </c>
      <c r="K587" s="17">
        <f>(Fact_Ventas_Detalle[[#This Row],[Cantidad]]*Fact_Ventas_Detalle[[#This Row],[Precio Unitario]])-Fact_Ventas_Detalle[[#This Row],[Descuento Linea]]</f>
        <v>71250</v>
      </c>
    </row>
    <row r="588" spans="1:11" x14ac:dyDescent="0.25">
      <c r="A588">
        <v>49</v>
      </c>
      <c r="B588" s="17" t="s">
        <v>557</v>
      </c>
      <c r="C588">
        <v>1</v>
      </c>
      <c r="D588" s="17" t="s">
        <v>24</v>
      </c>
      <c r="E588" s="17" t="s">
        <v>25</v>
      </c>
      <c r="F588" s="17" t="s">
        <v>14</v>
      </c>
      <c r="G588">
        <v>3</v>
      </c>
      <c r="H588">
        <v>850000</v>
      </c>
      <c r="I588">
        <v>620000</v>
      </c>
      <c r="J588">
        <v>255000</v>
      </c>
      <c r="K588" s="17">
        <f>(Fact_Ventas_Detalle[[#This Row],[Cantidad]]*Fact_Ventas_Detalle[[#This Row],[Precio Unitario]])-Fact_Ventas_Detalle[[#This Row],[Descuento Linea]]</f>
        <v>2295000</v>
      </c>
    </row>
    <row r="589" spans="1:11" x14ac:dyDescent="0.25">
      <c r="A589">
        <v>49</v>
      </c>
      <c r="B589" s="17" t="s">
        <v>472</v>
      </c>
      <c r="C589">
        <v>1</v>
      </c>
      <c r="D589" s="17" t="s">
        <v>31</v>
      </c>
      <c r="E589" s="17" t="s">
        <v>32</v>
      </c>
      <c r="F589" s="17" t="s">
        <v>33</v>
      </c>
      <c r="G589">
        <v>3</v>
      </c>
      <c r="H589">
        <v>25000</v>
      </c>
      <c r="I589">
        <v>11000</v>
      </c>
      <c r="J589">
        <v>3750</v>
      </c>
      <c r="K589" s="17">
        <f>(Fact_Ventas_Detalle[[#This Row],[Cantidad]]*Fact_Ventas_Detalle[[#This Row],[Precio Unitario]])-Fact_Ventas_Detalle[[#This Row],[Descuento Linea]]</f>
        <v>71250</v>
      </c>
    </row>
    <row r="590" spans="1:11" x14ac:dyDescent="0.25">
      <c r="A590">
        <v>50</v>
      </c>
      <c r="B590" s="17" t="s">
        <v>194</v>
      </c>
      <c r="C590">
        <v>1</v>
      </c>
      <c r="D590" s="17" t="s">
        <v>39</v>
      </c>
      <c r="E590" s="17" t="s">
        <v>40</v>
      </c>
      <c r="F590" s="17" t="s">
        <v>14</v>
      </c>
      <c r="G590">
        <v>2</v>
      </c>
      <c r="H590">
        <v>75000</v>
      </c>
      <c r="I590">
        <v>42000</v>
      </c>
      <c r="J590">
        <v>0</v>
      </c>
      <c r="K590" s="17">
        <f>(Fact_Ventas_Detalle[[#This Row],[Cantidad]]*Fact_Ventas_Detalle[[#This Row],[Precio Unitario]])-Fact_Ventas_Detalle[[#This Row],[Descuento Linea]]</f>
        <v>150000</v>
      </c>
    </row>
    <row r="591" spans="1:11" x14ac:dyDescent="0.25">
      <c r="A591">
        <v>50</v>
      </c>
      <c r="B591" s="17" t="s">
        <v>191</v>
      </c>
      <c r="C591">
        <v>2</v>
      </c>
      <c r="D591" s="17" t="s">
        <v>39</v>
      </c>
      <c r="E591" s="17" t="s">
        <v>40</v>
      </c>
      <c r="F591" s="17" t="s">
        <v>14</v>
      </c>
      <c r="G591">
        <v>2</v>
      </c>
      <c r="H591">
        <v>75000</v>
      </c>
      <c r="I591">
        <v>42000</v>
      </c>
      <c r="J591">
        <v>0</v>
      </c>
      <c r="K591" s="17">
        <f>(Fact_Ventas_Detalle[[#This Row],[Cantidad]]*Fact_Ventas_Detalle[[#This Row],[Precio Unitario]])-Fact_Ventas_Detalle[[#This Row],[Descuento Linea]]</f>
        <v>150000</v>
      </c>
    </row>
    <row r="592" spans="1:11" x14ac:dyDescent="0.25">
      <c r="A592">
        <v>50</v>
      </c>
      <c r="B592" s="17" t="s">
        <v>619</v>
      </c>
      <c r="C592">
        <v>2</v>
      </c>
      <c r="D592" s="17" t="s">
        <v>42</v>
      </c>
      <c r="E592" s="17" t="s">
        <v>43</v>
      </c>
      <c r="F592" s="17" t="s">
        <v>29</v>
      </c>
      <c r="G592">
        <v>3</v>
      </c>
      <c r="H592">
        <v>185000</v>
      </c>
      <c r="I592">
        <v>115000</v>
      </c>
      <c r="J592">
        <v>0</v>
      </c>
      <c r="K592" s="17">
        <f>(Fact_Ventas_Detalle[[#This Row],[Cantidad]]*Fact_Ventas_Detalle[[#This Row],[Precio Unitario]])-Fact_Ventas_Detalle[[#This Row],[Descuento Linea]]</f>
        <v>555000</v>
      </c>
    </row>
    <row r="593" spans="1:11" x14ac:dyDescent="0.25">
      <c r="A593">
        <v>50</v>
      </c>
      <c r="B593" s="17" t="s">
        <v>472</v>
      </c>
      <c r="C593">
        <v>2</v>
      </c>
      <c r="D593" s="17" t="s">
        <v>42</v>
      </c>
      <c r="E593" s="17" t="s">
        <v>43</v>
      </c>
      <c r="F593" s="17" t="s">
        <v>29</v>
      </c>
      <c r="G593">
        <v>1</v>
      </c>
      <c r="H593">
        <v>185000</v>
      </c>
      <c r="I593">
        <v>115000</v>
      </c>
      <c r="J593">
        <v>0</v>
      </c>
      <c r="K593" s="17">
        <f>(Fact_Ventas_Detalle[[#This Row],[Cantidad]]*Fact_Ventas_Detalle[[#This Row],[Precio Unitario]])-Fact_Ventas_Detalle[[#This Row],[Descuento Linea]]</f>
        <v>185000</v>
      </c>
    </row>
    <row r="594" spans="1:11" x14ac:dyDescent="0.25">
      <c r="A594">
        <v>50</v>
      </c>
      <c r="B594" s="17" t="s">
        <v>190</v>
      </c>
      <c r="C594">
        <v>3</v>
      </c>
      <c r="D594" s="17" t="s">
        <v>17</v>
      </c>
      <c r="E594" s="17" t="s">
        <v>18</v>
      </c>
      <c r="F594" s="17" t="s">
        <v>19</v>
      </c>
      <c r="G594">
        <v>2</v>
      </c>
      <c r="H594">
        <v>65000</v>
      </c>
      <c r="I594">
        <v>35000</v>
      </c>
      <c r="J594">
        <v>0</v>
      </c>
      <c r="K594" s="17">
        <f>(Fact_Ventas_Detalle[[#This Row],[Cantidad]]*Fact_Ventas_Detalle[[#This Row],[Precio Unitario]])-Fact_Ventas_Detalle[[#This Row],[Descuento Linea]]</f>
        <v>130000</v>
      </c>
    </row>
    <row r="595" spans="1:11" x14ac:dyDescent="0.25">
      <c r="A595">
        <v>50</v>
      </c>
      <c r="B595" s="17" t="s">
        <v>186</v>
      </c>
      <c r="C595">
        <v>4</v>
      </c>
      <c r="D595" s="17" t="s">
        <v>39</v>
      </c>
      <c r="E595" s="17" t="s">
        <v>40</v>
      </c>
      <c r="F595" s="17" t="s">
        <v>14</v>
      </c>
      <c r="G595">
        <v>1</v>
      </c>
      <c r="H595">
        <v>75000</v>
      </c>
      <c r="I595">
        <v>42000</v>
      </c>
      <c r="J595">
        <v>0</v>
      </c>
      <c r="K595" s="17">
        <f>(Fact_Ventas_Detalle[[#This Row],[Cantidad]]*Fact_Ventas_Detalle[[#This Row],[Precio Unitario]])-Fact_Ventas_Detalle[[#This Row],[Descuento Linea]]</f>
        <v>75000</v>
      </c>
    </row>
    <row r="596" spans="1:11" x14ac:dyDescent="0.25">
      <c r="A596">
        <v>50</v>
      </c>
      <c r="B596" s="17" t="s">
        <v>193</v>
      </c>
      <c r="C596">
        <v>2</v>
      </c>
      <c r="D596" s="17" t="s">
        <v>39</v>
      </c>
      <c r="E596" s="17" t="s">
        <v>40</v>
      </c>
      <c r="F596" s="17" t="s">
        <v>14</v>
      </c>
      <c r="G596">
        <v>3</v>
      </c>
      <c r="H596">
        <v>75000</v>
      </c>
      <c r="I596">
        <v>42000</v>
      </c>
      <c r="J596">
        <v>11250</v>
      </c>
      <c r="K596" s="17">
        <f>(Fact_Ventas_Detalle[[#This Row],[Cantidad]]*Fact_Ventas_Detalle[[#This Row],[Precio Unitario]])-Fact_Ventas_Detalle[[#This Row],[Descuento Linea]]</f>
        <v>213750</v>
      </c>
    </row>
    <row r="597" spans="1:11" x14ac:dyDescent="0.25">
      <c r="A597">
        <v>50</v>
      </c>
      <c r="B597" s="17" t="s">
        <v>557</v>
      </c>
      <c r="C597">
        <v>2</v>
      </c>
      <c r="D597" s="17" t="s">
        <v>27</v>
      </c>
      <c r="E597" s="17" t="s">
        <v>28</v>
      </c>
      <c r="F597" s="17" t="s">
        <v>29</v>
      </c>
      <c r="G597">
        <v>3</v>
      </c>
      <c r="H597">
        <v>240000</v>
      </c>
      <c r="I597">
        <v>150000</v>
      </c>
      <c r="J597">
        <v>36000</v>
      </c>
      <c r="K597" s="17">
        <f>(Fact_Ventas_Detalle[[#This Row],[Cantidad]]*Fact_Ventas_Detalle[[#This Row],[Precio Unitario]])-Fact_Ventas_Detalle[[#This Row],[Descuento Linea]]</f>
        <v>684000</v>
      </c>
    </row>
    <row r="598" spans="1:11" x14ac:dyDescent="0.25">
      <c r="A598">
        <v>50</v>
      </c>
      <c r="B598" s="17" t="s">
        <v>195</v>
      </c>
      <c r="C598">
        <v>1</v>
      </c>
      <c r="D598" s="17" t="s">
        <v>39</v>
      </c>
      <c r="E598" s="17" t="s">
        <v>40</v>
      </c>
      <c r="F598" s="17" t="s">
        <v>14</v>
      </c>
      <c r="G598">
        <v>3</v>
      </c>
      <c r="H598">
        <v>75000</v>
      </c>
      <c r="I598">
        <v>42000</v>
      </c>
      <c r="J598">
        <v>22500</v>
      </c>
      <c r="K598" s="17">
        <f>(Fact_Ventas_Detalle[[#This Row],[Cantidad]]*Fact_Ventas_Detalle[[#This Row],[Precio Unitario]])-Fact_Ventas_Detalle[[#This Row],[Descuento Linea]]</f>
        <v>202500</v>
      </c>
    </row>
    <row r="599" spans="1:11" x14ac:dyDescent="0.25">
      <c r="A599">
        <v>50</v>
      </c>
      <c r="B599" s="17" t="s">
        <v>807</v>
      </c>
      <c r="C599">
        <v>1</v>
      </c>
      <c r="D599" s="17" t="s">
        <v>31</v>
      </c>
      <c r="E599" s="17" t="s">
        <v>32</v>
      </c>
      <c r="F599" s="17" t="s">
        <v>33</v>
      </c>
      <c r="G599">
        <v>3</v>
      </c>
      <c r="H599">
        <v>25000</v>
      </c>
      <c r="I599">
        <v>11000</v>
      </c>
      <c r="J599">
        <v>3750</v>
      </c>
      <c r="K599" s="17">
        <f>(Fact_Ventas_Detalle[[#This Row],[Cantidad]]*Fact_Ventas_Detalle[[#This Row],[Precio Unitario]])-Fact_Ventas_Detalle[[#This Row],[Descuento Linea]]</f>
        <v>71250</v>
      </c>
    </row>
    <row r="600" spans="1:11" x14ac:dyDescent="0.25">
      <c r="A600">
        <v>50</v>
      </c>
      <c r="B600" s="17" t="s">
        <v>196</v>
      </c>
      <c r="C600">
        <v>1</v>
      </c>
      <c r="D600" s="17" t="s">
        <v>17</v>
      </c>
      <c r="E600" s="17" t="s">
        <v>18</v>
      </c>
      <c r="F600" s="17" t="s">
        <v>19</v>
      </c>
      <c r="G600">
        <v>1</v>
      </c>
      <c r="H600">
        <v>65000</v>
      </c>
      <c r="I600">
        <v>35000</v>
      </c>
      <c r="J600">
        <v>6500</v>
      </c>
      <c r="K600" s="17">
        <f>(Fact_Ventas_Detalle[[#This Row],[Cantidad]]*Fact_Ventas_Detalle[[#This Row],[Precio Unitario]])-Fact_Ventas_Detalle[[#This Row],[Descuento Linea]]</f>
        <v>58500</v>
      </c>
    </row>
    <row r="601" spans="1:11" x14ac:dyDescent="0.25">
      <c r="A601">
        <v>50</v>
      </c>
      <c r="B601" s="17" t="s">
        <v>197</v>
      </c>
      <c r="C601">
        <v>1</v>
      </c>
      <c r="D601" s="17" t="s">
        <v>12</v>
      </c>
      <c r="E601" s="17" t="s">
        <v>13</v>
      </c>
      <c r="F601" s="17" t="s">
        <v>14</v>
      </c>
      <c r="G601">
        <v>1</v>
      </c>
      <c r="H601">
        <v>280000</v>
      </c>
      <c r="I601">
        <v>190000</v>
      </c>
      <c r="J601">
        <v>28000</v>
      </c>
      <c r="K601" s="17">
        <f>(Fact_Ventas_Detalle[[#This Row],[Cantidad]]*Fact_Ventas_Detalle[[#This Row],[Precio Unitario]])-Fact_Ventas_Detalle[[#This Row],[Descuento Linea]]</f>
        <v>252000</v>
      </c>
    </row>
    <row r="602" spans="1:11" x14ac:dyDescent="0.25">
      <c r="A602">
        <v>51</v>
      </c>
      <c r="B602" s="17" t="s">
        <v>198</v>
      </c>
      <c r="C602">
        <v>1</v>
      </c>
      <c r="D602" s="17" t="s">
        <v>37</v>
      </c>
      <c r="E602" s="17" t="s">
        <v>38</v>
      </c>
      <c r="F602" s="17" t="s">
        <v>33</v>
      </c>
      <c r="G602">
        <v>3</v>
      </c>
      <c r="H602">
        <v>45000</v>
      </c>
      <c r="I602">
        <v>22000</v>
      </c>
      <c r="J602">
        <v>0</v>
      </c>
      <c r="K602" s="17">
        <f>(Fact_Ventas_Detalle[[#This Row],[Cantidad]]*Fact_Ventas_Detalle[[#This Row],[Precio Unitario]])-Fact_Ventas_Detalle[[#This Row],[Descuento Linea]]</f>
        <v>135000</v>
      </c>
    </row>
    <row r="603" spans="1:11" x14ac:dyDescent="0.25">
      <c r="A603">
        <v>51</v>
      </c>
      <c r="B603" s="17" t="s">
        <v>734</v>
      </c>
      <c r="C603">
        <v>1</v>
      </c>
      <c r="D603" s="17" t="s">
        <v>37</v>
      </c>
      <c r="E603" s="17" t="s">
        <v>38</v>
      </c>
      <c r="F603" s="17" t="s">
        <v>33</v>
      </c>
      <c r="G603">
        <v>3</v>
      </c>
      <c r="H603">
        <v>45000</v>
      </c>
      <c r="I603">
        <v>22000</v>
      </c>
      <c r="J603">
        <v>0</v>
      </c>
      <c r="K603" s="17">
        <f>(Fact_Ventas_Detalle[[#This Row],[Cantidad]]*Fact_Ventas_Detalle[[#This Row],[Precio Unitario]])-Fact_Ventas_Detalle[[#This Row],[Descuento Linea]]</f>
        <v>135000</v>
      </c>
    </row>
    <row r="604" spans="1:11" x14ac:dyDescent="0.25">
      <c r="A604">
        <v>51</v>
      </c>
      <c r="B604" s="17" t="s">
        <v>199</v>
      </c>
      <c r="C604">
        <v>1</v>
      </c>
      <c r="D604" s="17" t="s">
        <v>39</v>
      </c>
      <c r="E604" s="17" t="s">
        <v>40</v>
      </c>
      <c r="F604" s="17" t="s">
        <v>14</v>
      </c>
      <c r="G604">
        <v>2</v>
      </c>
      <c r="H604">
        <v>75000</v>
      </c>
      <c r="I604">
        <v>42000</v>
      </c>
      <c r="J604">
        <v>0</v>
      </c>
      <c r="K604" s="17">
        <f>(Fact_Ventas_Detalle[[#This Row],[Cantidad]]*Fact_Ventas_Detalle[[#This Row],[Precio Unitario]])-Fact_Ventas_Detalle[[#This Row],[Descuento Linea]]</f>
        <v>150000</v>
      </c>
    </row>
    <row r="605" spans="1:11" x14ac:dyDescent="0.25">
      <c r="A605">
        <v>51</v>
      </c>
      <c r="B605" s="17" t="s">
        <v>200</v>
      </c>
      <c r="C605">
        <v>1</v>
      </c>
      <c r="D605" s="17" t="s">
        <v>17</v>
      </c>
      <c r="E605" s="17" t="s">
        <v>18</v>
      </c>
      <c r="F605" s="17" t="s">
        <v>19</v>
      </c>
      <c r="G605">
        <v>1</v>
      </c>
      <c r="H605">
        <v>65000</v>
      </c>
      <c r="I605">
        <v>35000</v>
      </c>
      <c r="J605">
        <v>0</v>
      </c>
      <c r="K605" s="17">
        <f>(Fact_Ventas_Detalle[[#This Row],[Cantidad]]*Fact_Ventas_Detalle[[#This Row],[Precio Unitario]])-Fact_Ventas_Detalle[[#This Row],[Descuento Linea]]</f>
        <v>65000</v>
      </c>
    </row>
    <row r="606" spans="1:11" x14ac:dyDescent="0.25">
      <c r="A606">
        <v>51</v>
      </c>
      <c r="B606" s="17" t="s">
        <v>195</v>
      </c>
      <c r="C606">
        <v>2</v>
      </c>
      <c r="D606" s="17" t="s">
        <v>39</v>
      </c>
      <c r="E606" s="17" t="s">
        <v>40</v>
      </c>
      <c r="F606" s="17" t="s">
        <v>14</v>
      </c>
      <c r="G606">
        <v>1</v>
      </c>
      <c r="H606">
        <v>75000</v>
      </c>
      <c r="I606">
        <v>42000</v>
      </c>
      <c r="J606">
        <v>0</v>
      </c>
      <c r="K606" s="17">
        <f>(Fact_Ventas_Detalle[[#This Row],[Cantidad]]*Fact_Ventas_Detalle[[#This Row],[Precio Unitario]])-Fact_Ventas_Detalle[[#This Row],[Descuento Linea]]</f>
        <v>75000</v>
      </c>
    </row>
    <row r="607" spans="1:11" x14ac:dyDescent="0.25">
      <c r="A607">
        <v>51</v>
      </c>
      <c r="B607" s="17" t="s">
        <v>619</v>
      </c>
      <c r="C607">
        <v>3</v>
      </c>
      <c r="D607" s="17" t="s">
        <v>39</v>
      </c>
      <c r="E607" s="17" t="s">
        <v>40</v>
      </c>
      <c r="F607" s="17" t="s">
        <v>14</v>
      </c>
      <c r="G607">
        <v>3</v>
      </c>
      <c r="H607">
        <v>75000</v>
      </c>
      <c r="I607">
        <v>42000</v>
      </c>
      <c r="J607">
        <v>0</v>
      </c>
      <c r="K607" s="17">
        <f>(Fact_Ventas_Detalle[[#This Row],[Cantidad]]*Fact_Ventas_Detalle[[#This Row],[Precio Unitario]])-Fact_Ventas_Detalle[[#This Row],[Descuento Linea]]</f>
        <v>225000</v>
      </c>
    </row>
    <row r="608" spans="1:11" x14ac:dyDescent="0.25">
      <c r="A608">
        <v>51</v>
      </c>
      <c r="B608" s="17" t="s">
        <v>191</v>
      </c>
      <c r="C608">
        <v>3</v>
      </c>
      <c r="D608" s="17" t="s">
        <v>12</v>
      </c>
      <c r="E608" s="17" t="s">
        <v>13</v>
      </c>
      <c r="F608" s="17" t="s">
        <v>14</v>
      </c>
      <c r="G608">
        <v>3</v>
      </c>
      <c r="H608">
        <v>280000</v>
      </c>
      <c r="I608">
        <v>190000</v>
      </c>
      <c r="J608">
        <v>84000</v>
      </c>
      <c r="K608" s="17">
        <f>(Fact_Ventas_Detalle[[#This Row],[Cantidad]]*Fact_Ventas_Detalle[[#This Row],[Precio Unitario]])-Fact_Ventas_Detalle[[#This Row],[Descuento Linea]]</f>
        <v>756000</v>
      </c>
    </row>
    <row r="609" spans="1:11" x14ac:dyDescent="0.25">
      <c r="A609">
        <v>51</v>
      </c>
      <c r="B609" s="17" t="s">
        <v>193</v>
      </c>
      <c r="C609">
        <v>3</v>
      </c>
      <c r="D609" s="17" t="s">
        <v>17</v>
      </c>
      <c r="E609" s="17" t="s">
        <v>18</v>
      </c>
      <c r="F609" s="17" t="s">
        <v>19</v>
      </c>
      <c r="G609">
        <v>2</v>
      </c>
      <c r="H609">
        <v>65000</v>
      </c>
      <c r="I609">
        <v>35000</v>
      </c>
      <c r="J609">
        <v>6500</v>
      </c>
      <c r="K609" s="17">
        <f>(Fact_Ventas_Detalle[[#This Row],[Cantidad]]*Fact_Ventas_Detalle[[#This Row],[Precio Unitario]])-Fact_Ventas_Detalle[[#This Row],[Descuento Linea]]</f>
        <v>123500</v>
      </c>
    </row>
    <row r="610" spans="1:11" x14ac:dyDescent="0.25">
      <c r="A610">
        <v>51</v>
      </c>
      <c r="B610" s="17" t="s">
        <v>557</v>
      </c>
      <c r="C610">
        <v>3</v>
      </c>
      <c r="D610" s="17" t="s">
        <v>31</v>
      </c>
      <c r="E610" s="17" t="s">
        <v>32</v>
      </c>
      <c r="F610" s="17" t="s">
        <v>33</v>
      </c>
      <c r="G610">
        <v>1</v>
      </c>
      <c r="H610">
        <v>25000</v>
      </c>
      <c r="I610">
        <v>11000</v>
      </c>
      <c r="J610">
        <v>2500</v>
      </c>
      <c r="K610" s="17">
        <f>(Fact_Ventas_Detalle[[#This Row],[Cantidad]]*Fact_Ventas_Detalle[[#This Row],[Precio Unitario]])-Fact_Ventas_Detalle[[#This Row],[Descuento Linea]]</f>
        <v>22500</v>
      </c>
    </row>
    <row r="611" spans="1:11" x14ac:dyDescent="0.25">
      <c r="A611">
        <v>51</v>
      </c>
      <c r="B611" s="17" t="s">
        <v>196</v>
      </c>
      <c r="C611">
        <v>2</v>
      </c>
      <c r="D611" s="17" t="s">
        <v>24</v>
      </c>
      <c r="E611" s="17" t="s">
        <v>25</v>
      </c>
      <c r="F611" s="17" t="s">
        <v>14</v>
      </c>
      <c r="G611">
        <v>3</v>
      </c>
      <c r="H611">
        <v>850000</v>
      </c>
      <c r="I611">
        <v>620000</v>
      </c>
      <c r="J611">
        <v>255000</v>
      </c>
      <c r="K611" s="17">
        <f>(Fact_Ventas_Detalle[[#This Row],[Cantidad]]*Fact_Ventas_Detalle[[#This Row],[Precio Unitario]])-Fact_Ventas_Detalle[[#This Row],[Descuento Linea]]</f>
        <v>2295000</v>
      </c>
    </row>
    <row r="612" spans="1:11" x14ac:dyDescent="0.25">
      <c r="A612">
        <v>51</v>
      </c>
      <c r="B612" s="17" t="s">
        <v>807</v>
      </c>
      <c r="C612">
        <v>2</v>
      </c>
      <c r="D612" s="17" t="s">
        <v>17</v>
      </c>
      <c r="E612" s="17" t="s">
        <v>18</v>
      </c>
      <c r="F612" s="17" t="s">
        <v>19</v>
      </c>
      <c r="G612">
        <v>2</v>
      </c>
      <c r="H612">
        <v>65000</v>
      </c>
      <c r="I612">
        <v>35000</v>
      </c>
      <c r="J612">
        <v>13000</v>
      </c>
      <c r="K612" s="17">
        <f>(Fact_Ventas_Detalle[[#This Row],[Cantidad]]*Fact_Ventas_Detalle[[#This Row],[Precio Unitario]])-Fact_Ventas_Detalle[[#This Row],[Descuento Linea]]</f>
        <v>117000</v>
      </c>
    </row>
    <row r="613" spans="1:11" x14ac:dyDescent="0.25">
      <c r="A613">
        <v>51</v>
      </c>
      <c r="B613" s="17" t="s">
        <v>201</v>
      </c>
      <c r="C613">
        <v>1</v>
      </c>
      <c r="D613" s="17" t="s">
        <v>31</v>
      </c>
      <c r="E613" s="17" t="s">
        <v>32</v>
      </c>
      <c r="F613" s="17" t="s">
        <v>33</v>
      </c>
      <c r="G613">
        <v>2</v>
      </c>
      <c r="H613">
        <v>25000</v>
      </c>
      <c r="I613">
        <v>11000</v>
      </c>
      <c r="J613">
        <v>2500</v>
      </c>
      <c r="K613" s="17">
        <f>(Fact_Ventas_Detalle[[#This Row],[Cantidad]]*Fact_Ventas_Detalle[[#This Row],[Precio Unitario]])-Fact_Ventas_Detalle[[#This Row],[Descuento Linea]]</f>
        <v>47500</v>
      </c>
    </row>
    <row r="614" spans="1:11" x14ac:dyDescent="0.25">
      <c r="A614">
        <v>52</v>
      </c>
      <c r="B614" s="17" t="s">
        <v>202</v>
      </c>
      <c r="C614">
        <v>1</v>
      </c>
      <c r="D614" s="17" t="s">
        <v>27</v>
      </c>
      <c r="E614" s="17" t="s">
        <v>28</v>
      </c>
      <c r="F614" s="17" t="s">
        <v>29</v>
      </c>
      <c r="G614">
        <v>3</v>
      </c>
      <c r="H614">
        <v>240000</v>
      </c>
      <c r="I614">
        <v>150000</v>
      </c>
      <c r="J614">
        <v>0</v>
      </c>
      <c r="K614" s="17">
        <f>(Fact_Ventas_Detalle[[#This Row],[Cantidad]]*Fact_Ventas_Detalle[[#This Row],[Precio Unitario]])-Fact_Ventas_Detalle[[#This Row],[Descuento Linea]]</f>
        <v>720000</v>
      </c>
    </row>
    <row r="615" spans="1:11" x14ac:dyDescent="0.25">
      <c r="A615">
        <v>52</v>
      </c>
      <c r="B615" s="17" t="s">
        <v>430</v>
      </c>
      <c r="C615">
        <v>1</v>
      </c>
      <c r="D615" s="17" t="s">
        <v>37</v>
      </c>
      <c r="E615" s="17" t="s">
        <v>38</v>
      </c>
      <c r="F615" s="17" t="s">
        <v>33</v>
      </c>
      <c r="G615">
        <v>3</v>
      </c>
      <c r="H615">
        <v>45000</v>
      </c>
      <c r="I615">
        <v>22000</v>
      </c>
      <c r="J615">
        <v>0</v>
      </c>
      <c r="K615" s="17">
        <f>(Fact_Ventas_Detalle[[#This Row],[Cantidad]]*Fact_Ventas_Detalle[[#This Row],[Precio Unitario]])-Fact_Ventas_Detalle[[#This Row],[Descuento Linea]]</f>
        <v>135000</v>
      </c>
    </row>
    <row r="616" spans="1:11" x14ac:dyDescent="0.25">
      <c r="A616">
        <v>52</v>
      </c>
      <c r="B616" s="17" t="s">
        <v>821</v>
      </c>
      <c r="C616">
        <v>1</v>
      </c>
      <c r="D616" s="17" t="s">
        <v>24</v>
      </c>
      <c r="E616" s="17" t="s">
        <v>25</v>
      </c>
      <c r="F616" s="17" t="s">
        <v>14</v>
      </c>
      <c r="G616">
        <v>2</v>
      </c>
      <c r="H616">
        <v>850000</v>
      </c>
      <c r="I616">
        <v>620000</v>
      </c>
      <c r="J616">
        <v>0</v>
      </c>
      <c r="K616" s="17">
        <f>(Fact_Ventas_Detalle[[#This Row],[Cantidad]]*Fact_Ventas_Detalle[[#This Row],[Precio Unitario]])-Fact_Ventas_Detalle[[#This Row],[Descuento Linea]]</f>
        <v>1700000</v>
      </c>
    </row>
    <row r="617" spans="1:11" x14ac:dyDescent="0.25">
      <c r="A617">
        <v>52</v>
      </c>
      <c r="B617" s="17" t="s">
        <v>474</v>
      </c>
      <c r="C617">
        <v>1</v>
      </c>
      <c r="D617" s="17" t="s">
        <v>31</v>
      </c>
      <c r="E617" s="17" t="s">
        <v>32</v>
      </c>
      <c r="F617" s="17" t="s">
        <v>33</v>
      </c>
      <c r="G617">
        <v>2</v>
      </c>
      <c r="H617">
        <v>25000</v>
      </c>
      <c r="I617">
        <v>11000</v>
      </c>
      <c r="J617">
        <v>0</v>
      </c>
      <c r="K617" s="17">
        <f>(Fact_Ventas_Detalle[[#This Row],[Cantidad]]*Fact_Ventas_Detalle[[#This Row],[Precio Unitario]])-Fact_Ventas_Detalle[[#This Row],[Descuento Linea]]</f>
        <v>50000</v>
      </c>
    </row>
    <row r="618" spans="1:11" x14ac:dyDescent="0.25">
      <c r="A618">
        <v>52</v>
      </c>
      <c r="B618" s="17" t="s">
        <v>198</v>
      </c>
      <c r="C618">
        <v>2</v>
      </c>
      <c r="D618" s="17" t="s">
        <v>42</v>
      </c>
      <c r="E618" s="17" t="s">
        <v>43</v>
      </c>
      <c r="F618" s="17" t="s">
        <v>29</v>
      </c>
      <c r="G618">
        <v>3</v>
      </c>
      <c r="H618">
        <v>185000</v>
      </c>
      <c r="I618">
        <v>115000</v>
      </c>
      <c r="J618">
        <v>0</v>
      </c>
      <c r="K618" s="17">
        <f>(Fact_Ventas_Detalle[[#This Row],[Cantidad]]*Fact_Ventas_Detalle[[#This Row],[Precio Unitario]])-Fact_Ventas_Detalle[[#This Row],[Descuento Linea]]</f>
        <v>555000</v>
      </c>
    </row>
    <row r="619" spans="1:11" x14ac:dyDescent="0.25">
      <c r="A619">
        <v>52</v>
      </c>
      <c r="B619" s="17" t="s">
        <v>199</v>
      </c>
      <c r="C619">
        <v>2</v>
      </c>
      <c r="D619" s="17" t="s">
        <v>42</v>
      </c>
      <c r="E619" s="17" t="s">
        <v>43</v>
      </c>
      <c r="F619" s="17" t="s">
        <v>29</v>
      </c>
      <c r="G619">
        <v>3</v>
      </c>
      <c r="H619">
        <v>185000</v>
      </c>
      <c r="I619">
        <v>115000</v>
      </c>
      <c r="J619">
        <v>0</v>
      </c>
      <c r="K619" s="17">
        <f>(Fact_Ventas_Detalle[[#This Row],[Cantidad]]*Fact_Ventas_Detalle[[#This Row],[Precio Unitario]])-Fact_Ventas_Detalle[[#This Row],[Descuento Linea]]</f>
        <v>555000</v>
      </c>
    </row>
    <row r="620" spans="1:11" x14ac:dyDescent="0.25">
      <c r="A620">
        <v>52</v>
      </c>
      <c r="B620" s="17" t="s">
        <v>200</v>
      </c>
      <c r="C620">
        <v>2</v>
      </c>
      <c r="D620" s="17" t="s">
        <v>17</v>
      </c>
      <c r="E620" s="17" t="s">
        <v>18</v>
      </c>
      <c r="F620" s="17" t="s">
        <v>19</v>
      </c>
      <c r="G620">
        <v>3</v>
      </c>
      <c r="H620">
        <v>65000</v>
      </c>
      <c r="I620">
        <v>35000</v>
      </c>
      <c r="J620">
        <v>0</v>
      </c>
      <c r="K620" s="17">
        <f>(Fact_Ventas_Detalle[[#This Row],[Cantidad]]*Fact_Ventas_Detalle[[#This Row],[Precio Unitario]])-Fact_Ventas_Detalle[[#This Row],[Descuento Linea]]</f>
        <v>195000</v>
      </c>
    </row>
    <row r="621" spans="1:11" x14ac:dyDescent="0.25">
      <c r="A621">
        <v>52</v>
      </c>
      <c r="B621" s="17" t="s">
        <v>196</v>
      </c>
      <c r="C621">
        <v>3</v>
      </c>
      <c r="D621" s="17" t="s">
        <v>31</v>
      </c>
      <c r="E621" s="17" t="s">
        <v>32</v>
      </c>
      <c r="F621" s="17" t="s">
        <v>33</v>
      </c>
      <c r="G621">
        <v>3</v>
      </c>
      <c r="H621">
        <v>25000</v>
      </c>
      <c r="I621">
        <v>11000</v>
      </c>
      <c r="J621">
        <v>0</v>
      </c>
      <c r="K621" s="17">
        <f>(Fact_Ventas_Detalle[[#This Row],[Cantidad]]*Fact_Ventas_Detalle[[#This Row],[Precio Unitario]])-Fact_Ventas_Detalle[[#This Row],[Descuento Linea]]</f>
        <v>75000</v>
      </c>
    </row>
    <row r="622" spans="1:11" x14ac:dyDescent="0.25">
      <c r="A622">
        <v>52</v>
      </c>
      <c r="B622" s="17" t="s">
        <v>193</v>
      </c>
      <c r="C622">
        <v>4</v>
      </c>
      <c r="D622" s="17" t="s">
        <v>42</v>
      </c>
      <c r="E622" s="17" t="s">
        <v>43</v>
      </c>
      <c r="F622" s="17" t="s">
        <v>29</v>
      </c>
      <c r="G622">
        <v>1</v>
      </c>
      <c r="H622">
        <v>185000</v>
      </c>
      <c r="I622">
        <v>115000</v>
      </c>
      <c r="J622">
        <v>0</v>
      </c>
      <c r="K622" s="17">
        <f>(Fact_Ventas_Detalle[[#This Row],[Cantidad]]*Fact_Ventas_Detalle[[#This Row],[Precio Unitario]])-Fact_Ventas_Detalle[[#This Row],[Descuento Linea]]</f>
        <v>185000</v>
      </c>
    </row>
    <row r="623" spans="1:11" x14ac:dyDescent="0.25">
      <c r="A623">
        <v>52</v>
      </c>
      <c r="B623" s="17" t="s">
        <v>619</v>
      </c>
      <c r="C623">
        <v>4</v>
      </c>
      <c r="D623" s="17" t="s">
        <v>17</v>
      </c>
      <c r="E623" s="17" t="s">
        <v>18</v>
      </c>
      <c r="F623" s="17" t="s">
        <v>19</v>
      </c>
      <c r="G623">
        <v>1</v>
      </c>
      <c r="H623">
        <v>65000</v>
      </c>
      <c r="I623">
        <v>35000</v>
      </c>
      <c r="J623">
        <v>6500</v>
      </c>
      <c r="K623" s="17">
        <f>(Fact_Ventas_Detalle[[#This Row],[Cantidad]]*Fact_Ventas_Detalle[[#This Row],[Precio Unitario]])-Fact_Ventas_Detalle[[#This Row],[Descuento Linea]]</f>
        <v>58500</v>
      </c>
    </row>
    <row r="624" spans="1:11" x14ac:dyDescent="0.25">
      <c r="A624">
        <v>52</v>
      </c>
      <c r="B624" s="17" t="s">
        <v>201</v>
      </c>
      <c r="C624">
        <v>2</v>
      </c>
      <c r="D624" s="17" t="s">
        <v>31</v>
      </c>
      <c r="E624" s="17" t="s">
        <v>32</v>
      </c>
      <c r="F624" s="17" t="s">
        <v>33</v>
      </c>
      <c r="G624">
        <v>2</v>
      </c>
      <c r="H624">
        <v>25000</v>
      </c>
      <c r="I624">
        <v>11000</v>
      </c>
      <c r="J624">
        <v>5000</v>
      </c>
      <c r="K624" s="17">
        <f>(Fact_Ventas_Detalle[[#This Row],[Cantidad]]*Fact_Ventas_Detalle[[#This Row],[Precio Unitario]])-Fact_Ventas_Detalle[[#This Row],[Descuento Linea]]</f>
        <v>45000</v>
      </c>
    </row>
    <row r="625" spans="1:11" x14ac:dyDescent="0.25">
      <c r="A625">
        <v>52</v>
      </c>
      <c r="B625" s="17" t="s">
        <v>203</v>
      </c>
      <c r="C625">
        <v>1</v>
      </c>
      <c r="D625" s="17" t="s">
        <v>27</v>
      </c>
      <c r="E625" s="17" t="s">
        <v>28</v>
      </c>
      <c r="F625" s="17" t="s">
        <v>29</v>
      </c>
      <c r="G625">
        <v>3</v>
      </c>
      <c r="H625">
        <v>240000</v>
      </c>
      <c r="I625">
        <v>150000</v>
      </c>
      <c r="J625">
        <v>36000</v>
      </c>
      <c r="K625" s="17">
        <f>(Fact_Ventas_Detalle[[#This Row],[Cantidad]]*Fact_Ventas_Detalle[[#This Row],[Precio Unitario]])-Fact_Ventas_Detalle[[#This Row],[Descuento Linea]]</f>
        <v>684000</v>
      </c>
    </row>
    <row r="626" spans="1:11" x14ac:dyDescent="0.25">
      <c r="A626">
        <v>53</v>
      </c>
      <c r="B626" s="17" t="s">
        <v>803</v>
      </c>
      <c r="C626">
        <v>1</v>
      </c>
      <c r="D626" s="17" t="s">
        <v>12</v>
      </c>
      <c r="E626" s="17" t="s">
        <v>13</v>
      </c>
      <c r="F626" s="17" t="s">
        <v>14</v>
      </c>
      <c r="G626">
        <v>1</v>
      </c>
      <c r="H626">
        <v>280000</v>
      </c>
      <c r="I626">
        <v>190000</v>
      </c>
      <c r="J626">
        <v>0</v>
      </c>
      <c r="K626" s="17">
        <f>(Fact_Ventas_Detalle[[#This Row],[Cantidad]]*Fact_Ventas_Detalle[[#This Row],[Precio Unitario]])-Fact_Ventas_Detalle[[#This Row],[Descuento Linea]]</f>
        <v>280000</v>
      </c>
    </row>
    <row r="627" spans="1:11" x14ac:dyDescent="0.25">
      <c r="A627">
        <v>53</v>
      </c>
      <c r="B627" s="17" t="s">
        <v>202</v>
      </c>
      <c r="C627">
        <v>2</v>
      </c>
      <c r="D627" s="17" t="s">
        <v>12</v>
      </c>
      <c r="E627" s="17" t="s">
        <v>13</v>
      </c>
      <c r="F627" s="17" t="s">
        <v>14</v>
      </c>
      <c r="G627">
        <v>1</v>
      </c>
      <c r="H627">
        <v>280000</v>
      </c>
      <c r="I627">
        <v>190000</v>
      </c>
      <c r="J627">
        <v>0</v>
      </c>
      <c r="K627" s="17">
        <f>(Fact_Ventas_Detalle[[#This Row],[Cantidad]]*Fact_Ventas_Detalle[[#This Row],[Precio Unitario]])-Fact_Ventas_Detalle[[#This Row],[Descuento Linea]]</f>
        <v>280000</v>
      </c>
    </row>
    <row r="628" spans="1:11" x14ac:dyDescent="0.25">
      <c r="A628">
        <v>53</v>
      </c>
      <c r="B628" s="17" t="s">
        <v>821</v>
      </c>
      <c r="C628">
        <v>2</v>
      </c>
      <c r="D628" s="17" t="s">
        <v>42</v>
      </c>
      <c r="E628" s="17" t="s">
        <v>43</v>
      </c>
      <c r="F628" s="17" t="s">
        <v>29</v>
      </c>
      <c r="G628">
        <v>2</v>
      </c>
      <c r="H628">
        <v>185000</v>
      </c>
      <c r="I628">
        <v>115000</v>
      </c>
      <c r="J628">
        <v>0</v>
      </c>
      <c r="K628" s="17">
        <f>(Fact_Ventas_Detalle[[#This Row],[Cantidad]]*Fact_Ventas_Detalle[[#This Row],[Precio Unitario]])-Fact_Ventas_Detalle[[#This Row],[Descuento Linea]]</f>
        <v>370000</v>
      </c>
    </row>
    <row r="629" spans="1:11" x14ac:dyDescent="0.25">
      <c r="A629">
        <v>53</v>
      </c>
      <c r="B629" s="17" t="s">
        <v>196</v>
      </c>
      <c r="C629">
        <v>4</v>
      </c>
      <c r="D629" s="17" t="s">
        <v>17</v>
      </c>
      <c r="E629" s="17" t="s">
        <v>18</v>
      </c>
      <c r="F629" s="17" t="s">
        <v>19</v>
      </c>
      <c r="G629">
        <v>1</v>
      </c>
      <c r="H629">
        <v>65000</v>
      </c>
      <c r="I629">
        <v>35000</v>
      </c>
      <c r="J629">
        <v>0</v>
      </c>
      <c r="K629" s="17">
        <f>(Fact_Ventas_Detalle[[#This Row],[Cantidad]]*Fact_Ventas_Detalle[[#This Row],[Precio Unitario]])-Fact_Ventas_Detalle[[#This Row],[Descuento Linea]]</f>
        <v>65000</v>
      </c>
    </row>
    <row r="630" spans="1:11" x14ac:dyDescent="0.25">
      <c r="A630">
        <v>53</v>
      </c>
      <c r="B630" s="17" t="s">
        <v>198</v>
      </c>
      <c r="C630">
        <v>3</v>
      </c>
      <c r="D630" s="17" t="s">
        <v>27</v>
      </c>
      <c r="E630" s="17" t="s">
        <v>28</v>
      </c>
      <c r="F630" s="17" t="s">
        <v>29</v>
      </c>
      <c r="G630">
        <v>2</v>
      </c>
      <c r="H630">
        <v>240000</v>
      </c>
      <c r="I630">
        <v>150000</v>
      </c>
      <c r="J630">
        <v>48000</v>
      </c>
      <c r="K630" s="17">
        <f>(Fact_Ventas_Detalle[[#This Row],[Cantidad]]*Fact_Ventas_Detalle[[#This Row],[Precio Unitario]])-Fact_Ventas_Detalle[[#This Row],[Descuento Linea]]</f>
        <v>432000</v>
      </c>
    </row>
    <row r="631" spans="1:11" x14ac:dyDescent="0.25">
      <c r="A631">
        <v>53</v>
      </c>
      <c r="B631" s="17" t="s">
        <v>199</v>
      </c>
      <c r="C631">
        <v>3</v>
      </c>
      <c r="D631" s="17" t="s">
        <v>42</v>
      </c>
      <c r="E631" s="17" t="s">
        <v>43</v>
      </c>
      <c r="F631" s="17" t="s">
        <v>29</v>
      </c>
      <c r="G631">
        <v>3</v>
      </c>
      <c r="H631">
        <v>185000</v>
      </c>
      <c r="I631">
        <v>115000</v>
      </c>
      <c r="J631">
        <v>27750</v>
      </c>
      <c r="K631" s="17">
        <f>(Fact_Ventas_Detalle[[#This Row],[Cantidad]]*Fact_Ventas_Detalle[[#This Row],[Precio Unitario]])-Fact_Ventas_Detalle[[#This Row],[Descuento Linea]]</f>
        <v>527250</v>
      </c>
    </row>
    <row r="632" spans="1:11" x14ac:dyDescent="0.25">
      <c r="A632">
        <v>53</v>
      </c>
      <c r="B632" s="17" t="s">
        <v>203</v>
      </c>
      <c r="C632">
        <v>2</v>
      </c>
      <c r="D632" s="17" t="s">
        <v>42</v>
      </c>
      <c r="E632" s="17" t="s">
        <v>43</v>
      </c>
      <c r="F632" s="17" t="s">
        <v>29</v>
      </c>
      <c r="G632">
        <v>3</v>
      </c>
      <c r="H632">
        <v>185000</v>
      </c>
      <c r="I632">
        <v>115000</v>
      </c>
      <c r="J632">
        <v>55500</v>
      </c>
      <c r="K632" s="17">
        <f>(Fact_Ventas_Detalle[[#This Row],[Cantidad]]*Fact_Ventas_Detalle[[#This Row],[Precio Unitario]])-Fact_Ventas_Detalle[[#This Row],[Descuento Linea]]</f>
        <v>499500</v>
      </c>
    </row>
    <row r="633" spans="1:11" x14ac:dyDescent="0.25">
      <c r="A633">
        <v>53</v>
      </c>
      <c r="B633" s="17" t="s">
        <v>430</v>
      </c>
      <c r="C633">
        <v>2</v>
      </c>
      <c r="D633" s="17" t="s">
        <v>31</v>
      </c>
      <c r="E633" s="17" t="s">
        <v>32</v>
      </c>
      <c r="F633" s="17" t="s">
        <v>33</v>
      </c>
      <c r="G633">
        <v>1</v>
      </c>
      <c r="H633">
        <v>25000</v>
      </c>
      <c r="I633">
        <v>11000</v>
      </c>
      <c r="J633">
        <v>2500</v>
      </c>
      <c r="K633" s="17">
        <f>(Fact_Ventas_Detalle[[#This Row],[Cantidad]]*Fact_Ventas_Detalle[[#This Row],[Precio Unitario]])-Fact_Ventas_Detalle[[#This Row],[Descuento Linea]]</f>
        <v>22500</v>
      </c>
    </row>
    <row r="634" spans="1:11" x14ac:dyDescent="0.25">
      <c r="A634">
        <v>53</v>
      </c>
      <c r="B634" s="17" t="s">
        <v>474</v>
      </c>
      <c r="C634">
        <v>2</v>
      </c>
      <c r="D634" s="17" t="s">
        <v>24</v>
      </c>
      <c r="E634" s="17" t="s">
        <v>25</v>
      </c>
      <c r="F634" s="17" t="s">
        <v>14</v>
      </c>
      <c r="G634">
        <v>2</v>
      </c>
      <c r="H634">
        <v>850000</v>
      </c>
      <c r="I634">
        <v>620000</v>
      </c>
      <c r="J634">
        <v>85000</v>
      </c>
      <c r="K634" s="17">
        <f>(Fact_Ventas_Detalle[[#This Row],[Cantidad]]*Fact_Ventas_Detalle[[#This Row],[Precio Unitario]])-Fact_Ventas_Detalle[[#This Row],[Descuento Linea]]</f>
        <v>1615000</v>
      </c>
    </row>
    <row r="635" spans="1:11" x14ac:dyDescent="0.25">
      <c r="A635">
        <v>53</v>
      </c>
      <c r="B635" s="17" t="s">
        <v>204</v>
      </c>
      <c r="C635">
        <v>1</v>
      </c>
      <c r="D635" s="17" t="s">
        <v>27</v>
      </c>
      <c r="E635" s="17" t="s">
        <v>28</v>
      </c>
      <c r="F635" s="17" t="s">
        <v>29</v>
      </c>
      <c r="G635">
        <v>1</v>
      </c>
      <c r="H635">
        <v>240000</v>
      </c>
      <c r="I635">
        <v>150000</v>
      </c>
      <c r="J635">
        <v>12000</v>
      </c>
      <c r="K635" s="17">
        <f>(Fact_Ventas_Detalle[[#This Row],[Cantidad]]*Fact_Ventas_Detalle[[#This Row],[Precio Unitario]])-Fact_Ventas_Detalle[[#This Row],[Descuento Linea]]</f>
        <v>228000</v>
      </c>
    </row>
    <row r="636" spans="1:11" x14ac:dyDescent="0.25">
      <c r="A636">
        <v>53</v>
      </c>
      <c r="B636" s="17" t="s">
        <v>205</v>
      </c>
      <c r="C636">
        <v>1</v>
      </c>
      <c r="D636" s="17" t="s">
        <v>39</v>
      </c>
      <c r="E636" s="17" t="s">
        <v>40</v>
      </c>
      <c r="F636" s="17" t="s">
        <v>14</v>
      </c>
      <c r="G636">
        <v>1</v>
      </c>
      <c r="H636">
        <v>75000</v>
      </c>
      <c r="I636">
        <v>42000</v>
      </c>
      <c r="J636">
        <v>3750</v>
      </c>
      <c r="K636" s="17">
        <f>(Fact_Ventas_Detalle[[#This Row],[Cantidad]]*Fact_Ventas_Detalle[[#This Row],[Precio Unitario]])-Fact_Ventas_Detalle[[#This Row],[Descuento Linea]]</f>
        <v>71250</v>
      </c>
    </row>
    <row r="637" spans="1:11" x14ac:dyDescent="0.25">
      <c r="A637">
        <v>53</v>
      </c>
      <c r="B637" s="17" t="s">
        <v>206</v>
      </c>
      <c r="C637">
        <v>1</v>
      </c>
      <c r="D637" s="17" t="s">
        <v>42</v>
      </c>
      <c r="E637" s="17" t="s">
        <v>43</v>
      </c>
      <c r="F637" s="17" t="s">
        <v>29</v>
      </c>
      <c r="G637">
        <v>1</v>
      </c>
      <c r="H637">
        <v>185000</v>
      </c>
      <c r="I637">
        <v>115000</v>
      </c>
      <c r="J637">
        <v>9250</v>
      </c>
      <c r="K637" s="17">
        <f>(Fact_Ventas_Detalle[[#This Row],[Cantidad]]*Fact_Ventas_Detalle[[#This Row],[Precio Unitario]])-Fact_Ventas_Detalle[[#This Row],[Descuento Linea]]</f>
        <v>175750</v>
      </c>
    </row>
    <row r="638" spans="1:11" x14ac:dyDescent="0.25">
      <c r="A638">
        <v>54</v>
      </c>
      <c r="B638" s="17" t="s">
        <v>208</v>
      </c>
      <c r="C638">
        <v>1</v>
      </c>
      <c r="D638" s="17" t="s">
        <v>42</v>
      </c>
      <c r="E638" s="17" t="s">
        <v>43</v>
      </c>
      <c r="F638" s="17" t="s">
        <v>29</v>
      </c>
      <c r="G638">
        <v>3</v>
      </c>
      <c r="H638">
        <v>185000</v>
      </c>
      <c r="I638">
        <v>115000</v>
      </c>
      <c r="J638">
        <v>0</v>
      </c>
      <c r="K638" s="17">
        <f>(Fact_Ventas_Detalle[[#This Row],[Cantidad]]*Fact_Ventas_Detalle[[#This Row],[Precio Unitario]])-Fact_Ventas_Detalle[[#This Row],[Descuento Linea]]</f>
        <v>555000</v>
      </c>
    </row>
    <row r="639" spans="1:11" x14ac:dyDescent="0.25">
      <c r="A639">
        <v>54</v>
      </c>
      <c r="B639" s="17" t="s">
        <v>209</v>
      </c>
      <c r="C639">
        <v>1</v>
      </c>
      <c r="D639" s="17" t="s">
        <v>31</v>
      </c>
      <c r="E639" s="17" t="s">
        <v>32</v>
      </c>
      <c r="F639" s="17" t="s">
        <v>33</v>
      </c>
      <c r="G639">
        <v>3</v>
      </c>
      <c r="H639">
        <v>25000</v>
      </c>
      <c r="I639">
        <v>11000</v>
      </c>
      <c r="J639">
        <v>0</v>
      </c>
      <c r="K639" s="17">
        <f>(Fact_Ventas_Detalle[[#This Row],[Cantidad]]*Fact_Ventas_Detalle[[#This Row],[Precio Unitario]])-Fact_Ventas_Detalle[[#This Row],[Descuento Linea]]</f>
        <v>75000</v>
      </c>
    </row>
    <row r="640" spans="1:11" x14ac:dyDescent="0.25">
      <c r="A640">
        <v>54</v>
      </c>
      <c r="B640" s="17" t="s">
        <v>207</v>
      </c>
      <c r="C640">
        <v>1</v>
      </c>
      <c r="D640" s="17" t="s">
        <v>39</v>
      </c>
      <c r="E640" s="17" t="s">
        <v>40</v>
      </c>
      <c r="F640" s="17" t="s">
        <v>14</v>
      </c>
      <c r="G640">
        <v>2</v>
      </c>
      <c r="H640">
        <v>75000</v>
      </c>
      <c r="I640">
        <v>42000</v>
      </c>
      <c r="J640">
        <v>0</v>
      </c>
      <c r="K640" s="17">
        <f>(Fact_Ventas_Detalle[[#This Row],[Cantidad]]*Fact_Ventas_Detalle[[#This Row],[Precio Unitario]])-Fact_Ventas_Detalle[[#This Row],[Descuento Linea]]</f>
        <v>150000</v>
      </c>
    </row>
    <row r="641" spans="1:11" x14ac:dyDescent="0.25">
      <c r="A641">
        <v>54</v>
      </c>
      <c r="B641" s="17" t="s">
        <v>803</v>
      </c>
      <c r="C641">
        <v>2</v>
      </c>
      <c r="D641" s="17" t="s">
        <v>39</v>
      </c>
      <c r="E641" s="17" t="s">
        <v>40</v>
      </c>
      <c r="F641" s="17" t="s">
        <v>14</v>
      </c>
      <c r="G641">
        <v>3</v>
      </c>
      <c r="H641">
        <v>75000</v>
      </c>
      <c r="I641">
        <v>42000</v>
      </c>
      <c r="J641">
        <v>0</v>
      </c>
      <c r="K641" s="17">
        <f>(Fact_Ventas_Detalle[[#This Row],[Cantidad]]*Fact_Ventas_Detalle[[#This Row],[Precio Unitario]])-Fact_Ventas_Detalle[[#This Row],[Descuento Linea]]</f>
        <v>225000</v>
      </c>
    </row>
    <row r="642" spans="1:11" x14ac:dyDescent="0.25">
      <c r="A642">
        <v>54</v>
      </c>
      <c r="B642" s="17" t="s">
        <v>202</v>
      </c>
      <c r="C642">
        <v>3</v>
      </c>
      <c r="D642" s="17" t="s">
        <v>24</v>
      </c>
      <c r="E642" s="17" t="s">
        <v>25</v>
      </c>
      <c r="F642" s="17" t="s">
        <v>14</v>
      </c>
      <c r="G642">
        <v>2</v>
      </c>
      <c r="H642">
        <v>850000</v>
      </c>
      <c r="I642">
        <v>620000</v>
      </c>
      <c r="J642">
        <v>0</v>
      </c>
      <c r="K642" s="17">
        <f>(Fact_Ventas_Detalle[[#This Row],[Cantidad]]*Fact_Ventas_Detalle[[#This Row],[Precio Unitario]])-Fact_Ventas_Detalle[[#This Row],[Descuento Linea]]</f>
        <v>1700000</v>
      </c>
    </row>
    <row r="643" spans="1:11" x14ac:dyDescent="0.25">
      <c r="A643">
        <v>54</v>
      </c>
      <c r="B643" s="17" t="s">
        <v>430</v>
      </c>
      <c r="C643">
        <v>3</v>
      </c>
      <c r="D643" s="17" t="s">
        <v>27</v>
      </c>
      <c r="E643" s="17" t="s">
        <v>28</v>
      </c>
      <c r="F643" s="17" t="s">
        <v>29</v>
      </c>
      <c r="G643">
        <v>3</v>
      </c>
      <c r="H643">
        <v>240000</v>
      </c>
      <c r="I643">
        <v>150000</v>
      </c>
      <c r="J643">
        <v>0</v>
      </c>
      <c r="K643" s="17">
        <f>(Fact_Ventas_Detalle[[#This Row],[Cantidad]]*Fact_Ventas_Detalle[[#This Row],[Precio Unitario]])-Fact_Ventas_Detalle[[#This Row],[Descuento Linea]]</f>
        <v>720000</v>
      </c>
    </row>
    <row r="644" spans="1:11" x14ac:dyDescent="0.25">
      <c r="A644">
        <v>54</v>
      </c>
      <c r="B644" s="17" t="s">
        <v>199</v>
      </c>
      <c r="C644">
        <v>4</v>
      </c>
      <c r="D644" s="17" t="s">
        <v>42</v>
      </c>
      <c r="E644" s="17" t="s">
        <v>43</v>
      </c>
      <c r="F644" s="17" t="s">
        <v>29</v>
      </c>
      <c r="G644">
        <v>2</v>
      </c>
      <c r="H644">
        <v>185000</v>
      </c>
      <c r="I644">
        <v>115000</v>
      </c>
      <c r="J644">
        <v>0</v>
      </c>
      <c r="K644" s="17">
        <f>(Fact_Ventas_Detalle[[#This Row],[Cantidad]]*Fact_Ventas_Detalle[[#This Row],[Precio Unitario]])-Fact_Ventas_Detalle[[#This Row],[Descuento Linea]]</f>
        <v>370000</v>
      </c>
    </row>
    <row r="645" spans="1:11" x14ac:dyDescent="0.25">
      <c r="A645">
        <v>54</v>
      </c>
      <c r="B645" s="17" t="s">
        <v>203</v>
      </c>
      <c r="C645">
        <v>3</v>
      </c>
      <c r="D645" s="17" t="s">
        <v>17</v>
      </c>
      <c r="E645" s="17" t="s">
        <v>18</v>
      </c>
      <c r="F645" s="17" t="s">
        <v>19</v>
      </c>
      <c r="G645">
        <v>2</v>
      </c>
      <c r="H645">
        <v>65000</v>
      </c>
      <c r="I645">
        <v>35000</v>
      </c>
      <c r="J645">
        <v>6500</v>
      </c>
      <c r="K645" s="17">
        <f>(Fact_Ventas_Detalle[[#This Row],[Cantidad]]*Fact_Ventas_Detalle[[#This Row],[Precio Unitario]])-Fact_Ventas_Detalle[[#This Row],[Descuento Linea]]</f>
        <v>123500</v>
      </c>
    </row>
    <row r="646" spans="1:11" x14ac:dyDescent="0.25">
      <c r="A646">
        <v>54</v>
      </c>
      <c r="B646" s="17" t="s">
        <v>821</v>
      </c>
      <c r="C646">
        <v>3</v>
      </c>
      <c r="D646" s="17" t="s">
        <v>31</v>
      </c>
      <c r="E646" s="17" t="s">
        <v>32</v>
      </c>
      <c r="F646" s="17" t="s">
        <v>33</v>
      </c>
      <c r="G646">
        <v>1</v>
      </c>
      <c r="H646">
        <v>25000</v>
      </c>
      <c r="I646">
        <v>11000</v>
      </c>
      <c r="J646">
        <v>2500</v>
      </c>
      <c r="K646" s="17">
        <f>(Fact_Ventas_Detalle[[#This Row],[Cantidad]]*Fact_Ventas_Detalle[[#This Row],[Precio Unitario]])-Fact_Ventas_Detalle[[#This Row],[Descuento Linea]]</f>
        <v>22500</v>
      </c>
    </row>
    <row r="647" spans="1:11" x14ac:dyDescent="0.25">
      <c r="A647">
        <v>54</v>
      </c>
      <c r="B647" s="17" t="s">
        <v>474</v>
      </c>
      <c r="C647">
        <v>3</v>
      </c>
      <c r="D647" s="17" t="s">
        <v>24</v>
      </c>
      <c r="E647" s="17" t="s">
        <v>25</v>
      </c>
      <c r="F647" s="17" t="s">
        <v>14</v>
      </c>
      <c r="G647">
        <v>3</v>
      </c>
      <c r="H647">
        <v>850000</v>
      </c>
      <c r="I647">
        <v>620000</v>
      </c>
      <c r="J647">
        <v>255000</v>
      </c>
      <c r="K647" s="17">
        <f>(Fact_Ventas_Detalle[[#This Row],[Cantidad]]*Fact_Ventas_Detalle[[#This Row],[Precio Unitario]])-Fact_Ventas_Detalle[[#This Row],[Descuento Linea]]</f>
        <v>2295000</v>
      </c>
    </row>
    <row r="648" spans="1:11" x14ac:dyDescent="0.25">
      <c r="A648">
        <v>54</v>
      </c>
      <c r="B648" s="17" t="s">
        <v>206</v>
      </c>
      <c r="C648">
        <v>2</v>
      </c>
      <c r="D648" s="17" t="s">
        <v>31</v>
      </c>
      <c r="E648" s="17" t="s">
        <v>32</v>
      </c>
      <c r="F648" s="17" t="s">
        <v>33</v>
      </c>
      <c r="G648">
        <v>3</v>
      </c>
      <c r="H648">
        <v>25000</v>
      </c>
      <c r="I648">
        <v>11000</v>
      </c>
      <c r="J648">
        <v>7500</v>
      </c>
      <c r="K648" s="17">
        <f>(Fact_Ventas_Detalle[[#This Row],[Cantidad]]*Fact_Ventas_Detalle[[#This Row],[Precio Unitario]])-Fact_Ventas_Detalle[[#This Row],[Descuento Linea]]</f>
        <v>67500</v>
      </c>
    </row>
    <row r="649" spans="1:11" x14ac:dyDescent="0.25">
      <c r="A649">
        <v>54</v>
      </c>
      <c r="B649" s="17" t="s">
        <v>210</v>
      </c>
      <c r="C649">
        <v>1</v>
      </c>
      <c r="D649" s="17" t="s">
        <v>31</v>
      </c>
      <c r="E649" s="17" t="s">
        <v>32</v>
      </c>
      <c r="F649" s="17" t="s">
        <v>33</v>
      </c>
      <c r="G649">
        <v>1</v>
      </c>
      <c r="H649">
        <v>25000</v>
      </c>
      <c r="I649">
        <v>11000</v>
      </c>
      <c r="J649">
        <v>1250</v>
      </c>
      <c r="K649" s="17">
        <f>(Fact_Ventas_Detalle[[#This Row],[Cantidad]]*Fact_Ventas_Detalle[[#This Row],[Precio Unitario]])-Fact_Ventas_Detalle[[#This Row],[Descuento Linea]]</f>
        <v>23750</v>
      </c>
    </row>
    <row r="650" spans="1:11" x14ac:dyDescent="0.25">
      <c r="A650">
        <v>55</v>
      </c>
      <c r="B650" s="17" t="s">
        <v>211</v>
      </c>
      <c r="C650">
        <v>1</v>
      </c>
      <c r="D650" s="17" t="s">
        <v>37</v>
      </c>
      <c r="E650" s="17" t="s">
        <v>38</v>
      </c>
      <c r="F650" s="17" t="s">
        <v>33</v>
      </c>
      <c r="G650">
        <v>1</v>
      </c>
      <c r="H650">
        <v>45000</v>
      </c>
      <c r="I650">
        <v>22000</v>
      </c>
      <c r="J650">
        <v>0</v>
      </c>
      <c r="K650" s="17">
        <f>(Fact_Ventas_Detalle[[#This Row],[Cantidad]]*Fact_Ventas_Detalle[[#This Row],[Precio Unitario]])-Fact_Ventas_Detalle[[#This Row],[Descuento Linea]]</f>
        <v>45000</v>
      </c>
    </row>
    <row r="651" spans="1:11" x14ac:dyDescent="0.25">
      <c r="A651">
        <v>55</v>
      </c>
      <c r="B651" s="17" t="s">
        <v>212</v>
      </c>
      <c r="C651">
        <v>1</v>
      </c>
      <c r="D651" s="17" t="s">
        <v>27</v>
      </c>
      <c r="E651" s="17" t="s">
        <v>28</v>
      </c>
      <c r="F651" s="17" t="s">
        <v>29</v>
      </c>
      <c r="G651">
        <v>2</v>
      </c>
      <c r="H651">
        <v>240000</v>
      </c>
      <c r="I651">
        <v>150000</v>
      </c>
      <c r="J651">
        <v>0</v>
      </c>
      <c r="K651" s="17">
        <f>(Fact_Ventas_Detalle[[#This Row],[Cantidad]]*Fact_Ventas_Detalle[[#This Row],[Precio Unitario]])-Fact_Ventas_Detalle[[#This Row],[Descuento Linea]]</f>
        <v>480000</v>
      </c>
    </row>
    <row r="652" spans="1:11" x14ac:dyDescent="0.25">
      <c r="A652">
        <v>55</v>
      </c>
      <c r="B652" s="17" t="s">
        <v>700</v>
      </c>
      <c r="C652">
        <v>1</v>
      </c>
      <c r="D652" s="17" t="s">
        <v>27</v>
      </c>
      <c r="E652" s="17" t="s">
        <v>28</v>
      </c>
      <c r="F652" s="17" t="s">
        <v>29</v>
      </c>
      <c r="G652">
        <v>1</v>
      </c>
      <c r="H652">
        <v>240000</v>
      </c>
      <c r="I652">
        <v>150000</v>
      </c>
      <c r="J652">
        <v>0</v>
      </c>
      <c r="K652" s="17">
        <f>(Fact_Ventas_Detalle[[#This Row],[Cantidad]]*Fact_Ventas_Detalle[[#This Row],[Precio Unitario]])-Fact_Ventas_Detalle[[#This Row],[Descuento Linea]]</f>
        <v>240000</v>
      </c>
    </row>
    <row r="653" spans="1:11" x14ac:dyDescent="0.25">
      <c r="A653">
        <v>55</v>
      </c>
      <c r="B653" s="17" t="s">
        <v>452</v>
      </c>
      <c r="C653">
        <v>1</v>
      </c>
      <c r="D653" s="17" t="s">
        <v>27</v>
      </c>
      <c r="E653" s="17" t="s">
        <v>28</v>
      </c>
      <c r="F653" s="17" t="s">
        <v>29</v>
      </c>
      <c r="G653">
        <v>1</v>
      </c>
      <c r="H653">
        <v>240000</v>
      </c>
      <c r="I653">
        <v>150000</v>
      </c>
      <c r="J653">
        <v>0</v>
      </c>
      <c r="K653" s="17">
        <f>(Fact_Ventas_Detalle[[#This Row],[Cantidad]]*Fact_Ventas_Detalle[[#This Row],[Precio Unitario]])-Fact_Ventas_Detalle[[#This Row],[Descuento Linea]]</f>
        <v>240000</v>
      </c>
    </row>
    <row r="654" spans="1:11" x14ac:dyDescent="0.25">
      <c r="A654">
        <v>55</v>
      </c>
      <c r="B654" s="17" t="s">
        <v>206</v>
      </c>
      <c r="C654">
        <v>3</v>
      </c>
      <c r="D654" s="17" t="s">
        <v>27</v>
      </c>
      <c r="E654" s="17" t="s">
        <v>28</v>
      </c>
      <c r="F654" s="17" t="s">
        <v>29</v>
      </c>
      <c r="G654">
        <v>1</v>
      </c>
      <c r="H654">
        <v>240000</v>
      </c>
      <c r="I654">
        <v>150000</v>
      </c>
      <c r="J654">
        <v>0</v>
      </c>
      <c r="K654" s="17">
        <f>(Fact_Ventas_Detalle[[#This Row],[Cantidad]]*Fact_Ventas_Detalle[[#This Row],[Precio Unitario]])-Fact_Ventas_Detalle[[#This Row],[Descuento Linea]]</f>
        <v>240000</v>
      </c>
    </row>
    <row r="655" spans="1:11" x14ac:dyDescent="0.25">
      <c r="A655">
        <v>55</v>
      </c>
      <c r="B655" s="17" t="s">
        <v>202</v>
      </c>
      <c r="C655">
        <v>4</v>
      </c>
      <c r="D655" s="17" t="s">
        <v>27</v>
      </c>
      <c r="E655" s="17" t="s">
        <v>28</v>
      </c>
      <c r="F655" s="17" t="s">
        <v>29</v>
      </c>
      <c r="G655">
        <v>1</v>
      </c>
      <c r="H655">
        <v>240000</v>
      </c>
      <c r="I655">
        <v>150000</v>
      </c>
      <c r="J655">
        <v>0</v>
      </c>
      <c r="K655" s="17">
        <f>(Fact_Ventas_Detalle[[#This Row],[Cantidad]]*Fact_Ventas_Detalle[[#This Row],[Precio Unitario]])-Fact_Ventas_Detalle[[#This Row],[Descuento Linea]]</f>
        <v>240000</v>
      </c>
    </row>
    <row r="656" spans="1:11" x14ac:dyDescent="0.25">
      <c r="A656">
        <v>55</v>
      </c>
      <c r="B656" s="17" t="s">
        <v>474</v>
      </c>
      <c r="C656">
        <v>4</v>
      </c>
      <c r="D656" s="17" t="s">
        <v>24</v>
      </c>
      <c r="E656" s="17" t="s">
        <v>25</v>
      </c>
      <c r="F656" s="17" t="s">
        <v>14</v>
      </c>
      <c r="G656">
        <v>3</v>
      </c>
      <c r="H656">
        <v>850000</v>
      </c>
      <c r="I656">
        <v>620000</v>
      </c>
      <c r="J656">
        <v>255000</v>
      </c>
      <c r="K656" s="17">
        <f>(Fact_Ventas_Detalle[[#This Row],[Cantidad]]*Fact_Ventas_Detalle[[#This Row],[Precio Unitario]])-Fact_Ventas_Detalle[[#This Row],[Descuento Linea]]</f>
        <v>2295000</v>
      </c>
    </row>
    <row r="657" spans="1:11" x14ac:dyDescent="0.25">
      <c r="A657">
        <v>55</v>
      </c>
      <c r="B657" s="17" t="s">
        <v>210</v>
      </c>
      <c r="C657">
        <v>2</v>
      </c>
      <c r="D657" s="17" t="s">
        <v>42</v>
      </c>
      <c r="E657" s="17" t="s">
        <v>43</v>
      </c>
      <c r="F657" s="17" t="s">
        <v>29</v>
      </c>
      <c r="G657">
        <v>1</v>
      </c>
      <c r="H657">
        <v>185000</v>
      </c>
      <c r="I657">
        <v>115000</v>
      </c>
      <c r="J657">
        <v>9250</v>
      </c>
      <c r="K657" s="17">
        <f>(Fact_Ventas_Detalle[[#This Row],[Cantidad]]*Fact_Ventas_Detalle[[#This Row],[Precio Unitario]])-Fact_Ventas_Detalle[[#This Row],[Descuento Linea]]</f>
        <v>175750</v>
      </c>
    </row>
    <row r="658" spans="1:11" x14ac:dyDescent="0.25">
      <c r="A658">
        <v>55</v>
      </c>
      <c r="B658" s="17" t="s">
        <v>213</v>
      </c>
      <c r="C658">
        <v>1</v>
      </c>
      <c r="D658" s="17" t="s">
        <v>39</v>
      </c>
      <c r="E658" s="17" t="s">
        <v>40</v>
      </c>
      <c r="F658" s="17" t="s">
        <v>14</v>
      </c>
      <c r="G658">
        <v>2</v>
      </c>
      <c r="H658">
        <v>75000</v>
      </c>
      <c r="I658">
        <v>42000</v>
      </c>
      <c r="J658">
        <v>7500</v>
      </c>
      <c r="K658" s="17">
        <f>(Fact_Ventas_Detalle[[#This Row],[Cantidad]]*Fact_Ventas_Detalle[[#This Row],[Precio Unitario]])-Fact_Ventas_Detalle[[#This Row],[Descuento Linea]]</f>
        <v>142500</v>
      </c>
    </row>
    <row r="659" spans="1:11" x14ac:dyDescent="0.25">
      <c r="A659">
        <v>55</v>
      </c>
      <c r="B659" s="17" t="s">
        <v>215</v>
      </c>
      <c r="C659">
        <v>1</v>
      </c>
      <c r="D659" s="17" t="s">
        <v>24</v>
      </c>
      <c r="E659" s="17" t="s">
        <v>25</v>
      </c>
      <c r="F659" s="17" t="s">
        <v>14</v>
      </c>
      <c r="G659">
        <v>2</v>
      </c>
      <c r="H659">
        <v>850000</v>
      </c>
      <c r="I659">
        <v>620000</v>
      </c>
      <c r="J659">
        <v>170000</v>
      </c>
      <c r="K659" s="17">
        <f>(Fact_Ventas_Detalle[[#This Row],[Cantidad]]*Fact_Ventas_Detalle[[#This Row],[Precio Unitario]])-Fact_Ventas_Detalle[[#This Row],[Descuento Linea]]</f>
        <v>1530000</v>
      </c>
    </row>
    <row r="660" spans="1:11" x14ac:dyDescent="0.25">
      <c r="A660">
        <v>55</v>
      </c>
      <c r="B660" s="17" t="s">
        <v>214</v>
      </c>
      <c r="C660">
        <v>1</v>
      </c>
      <c r="D660" s="17" t="s">
        <v>39</v>
      </c>
      <c r="E660" s="17" t="s">
        <v>40</v>
      </c>
      <c r="F660" s="17" t="s">
        <v>14</v>
      </c>
      <c r="G660">
        <v>3</v>
      </c>
      <c r="H660">
        <v>75000</v>
      </c>
      <c r="I660">
        <v>42000</v>
      </c>
      <c r="J660">
        <v>11250</v>
      </c>
      <c r="K660" s="17">
        <f>(Fact_Ventas_Detalle[[#This Row],[Cantidad]]*Fact_Ventas_Detalle[[#This Row],[Precio Unitario]])-Fact_Ventas_Detalle[[#This Row],[Descuento Linea]]</f>
        <v>213750</v>
      </c>
    </row>
    <row r="661" spans="1:11" x14ac:dyDescent="0.25">
      <c r="A661">
        <v>56</v>
      </c>
      <c r="B661" s="17" t="s">
        <v>216</v>
      </c>
      <c r="C661">
        <v>1</v>
      </c>
      <c r="D661" s="17" t="s">
        <v>27</v>
      </c>
      <c r="E661" s="17" t="s">
        <v>28</v>
      </c>
      <c r="F661" s="17" t="s">
        <v>29</v>
      </c>
      <c r="G661">
        <v>3</v>
      </c>
      <c r="H661">
        <v>240000</v>
      </c>
      <c r="I661">
        <v>150000</v>
      </c>
      <c r="J661">
        <v>0</v>
      </c>
      <c r="K661" s="17">
        <f>(Fact_Ventas_Detalle[[#This Row],[Cantidad]]*Fact_Ventas_Detalle[[#This Row],[Precio Unitario]])-Fact_Ventas_Detalle[[#This Row],[Descuento Linea]]</f>
        <v>720000</v>
      </c>
    </row>
    <row r="662" spans="1:11" x14ac:dyDescent="0.25">
      <c r="A662">
        <v>56</v>
      </c>
      <c r="B662" s="17" t="s">
        <v>454</v>
      </c>
      <c r="C662">
        <v>1</v>
      </c>
      <c r="D662" s="17" t="s">
        <v>27</v>
      </c>
      <c r="E662" s="17" t="s">
        <v>28</v>
      </c>
      <c r="F662" s="17" t="s">
        <v>29</v>
      </c>
      <c r="G662">
        <v>1</v>
      </c>
      <c r="H662">
        <v>240000</v>
      </c>
      <c r="I662">
        <v>150000</v>
      </c>
      <c r="J662">
        <v>0</v>
      </c>
      <c r="K662" s="17">
        <f>(Fact_Ventas_Detalle[[#This Row],[Cantidad]]*Fact_Ventas_Detalle[[#This Row],[Precio Unitario]])-Fact_Ventas_Detalle[[#This Row],[Descuento Linea]]</f>
        <v>240000</v>
      </c>
    </row>
    <row r="663" spans="1:11" x14ac:dyDescent="0.25">
      <c r="A663">
        <v>56</v>
      </c>
      <c r="B663" s="17" t="s">
        <v>579</v>
      </c>
      <c r="C663">
        <v>1</v>
      </c>
      <c r="D663" s="17" t="s">
        <v>12</v>
      </c>
      <c r="E663" s="17" t="s">
        <v>13</v>
      </c>
      <c r="F663" s="17" t="s">
        <v>14</v>
      </c>
      <c r="G663">
        <v>1</v>
      </c>
      <c r="H663">
        <v>280000</v>
      </c>
      <c r="I663">
        <v>190000</v>
      </c>
      <c r="J663">
        <v>0</v>
      </c>
      <c r="K663" s="17">
        <f>(Fact_Ventas_Detalle[[#This Row],[Cantidad]]*Fact_Ventas_Detalle[[#This Row],[Precio Unitario]])-Fact_Ventas_Detalle[[#This Row],[Descuento Linea]]</f>
        <v>280000</v>
      </c>
    </row>
    <row r="664" spans="1:11" x14ac:dyDescent="0.25">
      <c r="A664">
        <v>56</v>
      </c>
      <c r="B664" s="17" t="s">
        <v>215</v>
      </c>
      <c r="C664">
        <v>2</v>
      </c>
      <c r="D664" s="17" t="s">
        <v>42</v>
      </c>
      <c r="E664" s="17" t="s">
        <v>43</v>
      </c>
      <c r="F664" s="17" t="s">
        <v>29</v>
      </c>
      <c r="G664">
        <v>1</v>
      </c>
      <c r="H664">
        <v>185000</v>
      </c>
      <c r="I664">
        <v>115000</v>
      </c>
      <c r="J664">
        <v>0</v>
      </c>
      <c r="K664" s="17">
        <f>(Fact_Ventas_Detalle[[#This Row],[Cantidad]]*Fact_Ventas_Detalle[[#This Row],[Precio Unitario]])-Fact_Ventas_Detalle[[#This Row],[Descuento Linea]]</f>
        <v>185000</v>
      </c>
    </row>
    <row r="665" spans="1:11" x14ac:dyDescent="0.25">
      <c r="A665">
        <v>56</v>
      </c>
      <c r="B665" s="17" t="s">
        <v>210</v>
      </c>
      <c r="C665">
        <v>3</v>
      </c>
      <c r="D665" s="17" t="s">
        <v>31</v>
      </c>
      <c r="E665" s="17" t="s">
        <v>32</v>
      </c>
      <c r="F665" s="17" t="s">
        <v>33</v>
      </c>
      <c r="G665">
        <v>2</v>
      </c>
      <c r="H665">
        <v>25000</v>
      </c>
      <c r="I665">
        <v>11000</v>
      </c>
      <c r="J665">
        <v>0</v>
      </c>
      <c r="K665" s="17">
        <f>(Fact_Ventas_Detalle[[#This Row],[Cantidad]]*Fact_Ventas_Detalle[[#This Row],[Precio Unitario]])-Fact_Ventas_Detalle[[#This Row],[Descuento Linea]]</f>
        <v>50000</v>
      </c>
    </row>
    <row r="666" spans="1:11" x14ac:dyDescent="0.25">
      <c r="A666">
        <v>56</v>
      </c>
      <c r="B666" s="17" t="s">
        <v>206</v>
      </c>
      <c r="C666">
        <v>4</v>
      </c>
      <c r="D666" s="17" t="s">
        <v>37</v>
      </c>
      <c r="E666" s="17" t="s">
        <v>38</v>
      </c>
      <c r="F666" s="17" t="s">
        <v>33</v>
      </c>
      <c r="G666">
        <v>3</v>
      </c>
      <c r="H666">
        <v>45000</v>
      </c>
      <c r="I666">
        <v>22000</v>
      </c>
      <c r="J666">
        <v>0</v>
      </c>
      <c r="K666" s="17">
        <f>(Fact_Ventas_Detalle[[#This Row],[Cantidad]]*Fact_Ventas_Detalle[[#This Row],[Precio Unitario]])-Fact_Ventas_Detalle[[#This Row],[Descuento Linea]]</f>
        <v>135000</v>
      </c>
    </row>
    <row r="667" spans="1:11" x14ac:dyDescent="0.25">
      <c r="A667">
        <v>56</v>
      </c>
      <c r="B667" s="17" t="s">
        <v>213</v>
      </c>
      <c r="C667">
        <v>2</v>
      </c>
      <c r="D667" s="17" t="s">
        <v>12</v>
      </c>
      <c r="E667" s="17" t="s">
        <v>13</v>
      </c>
      <c r="F667" s="17" t="s">
        <v>14</v>
      </c>
      <c r="G667">
        <v>1</v>
      </c>
      <c r="H667">
        <v>280000</v>
      </c>
      <c r="I667">
        <v>190000</v>
      </c>
      <c r="J667">
        <v>14000</v>
      </c>
      <c r="K667" s="17">
        <f>(Fact_Ventas_Detalle[[#This Row],[Cantidad]]*Fact_Ventas_Detalle[[#This Row],[Precio Unitario]])-Fact_Ventas_Detalle[[#This Row],[Descuento Linea]]</f>
        <v>266000</v>
      </c>
    </row>
    <row r="668" spans="1:11" x14ac:dyDescent="0.25">
      <c r="A668">
        <v>56</v>
      </c>
      <c r="B668" s="17" t="s">
        <v>211</v>
      </c>
      <c r="C668">
        <v>2</v>
      </c>
      <c r="D668" s="17" t="s">
        <v>17</v>
      </c>
      <c r="E668" s="17" t="s">
        <v>18</v>
      </c>
      <c r="F668" s="17" t="s">
        <v>19</v>
      </c>
      <c r="G668">
        <v>2</v>
      </c>
      <c r="H668">
        <v>65000</v>
      </c>
      <c r="I668">
        <v>35000</v>
      </c>
      <c r="J668">
        <v>13000</v>
      </c>
      <c r="K668" s="17">
        <f>(Fact_Ventas_Detalle[[#This Row],[Cantidad]]*Fact_Ventas_Detalle[[#This Row],[Precio Unitario]])-Fact_Ventas_Detalle[[#This Row],[Descuento Linea]]</f>
        <v>117000</v>
      </c>
    </row>
    <row r="669" spans="1:11" x14ac:dyDescent="0.25">
      <c r="A669">
        <v>56</v>
      </c>
      <c r="B669" s="17" t="s">
        <v>214</v>
      </c>
      <c r="C669">
        <v>2</v>
      </c>
      <c r="D669" s="17" t="s">
        <v>27</v>
      </c>
      <c r="E669" s="17" t="s">
        <v>28</v>
      </c>
      <c r="F669" s="17" t="s">
        <v>29</v>
      </c>
      <c r="G669">
        <v>2</v>
      </c>
      <c r="H669">
        <v>240000</v>
      </c>
      <c r="I669">
        <v>150000</v>
      </c>
      <c r="J669">
        <v>24000</v>
      </c>
      <c r="K669" s="17">
        <f>(Fact_Ventas_Detalle[[#This Row],[Cantidad]]*Fact_Ventas_Detalle[[#This Row],[Precio Unitario]])-Fact_Ventas_Detalle[[#This Row],[Descuento Linea]]</f>
        <v>456000</v>
      </c>
    </row>
    <row r="670" spans="1:11" x14ac:dyDescent="0.25">
      <c r="A670">
        <v>56</v>
      </c>
      <c r="B670" s="17" t="s">
        <v>700</v>
      </c>
      <c r="C670">
        <v>2</v>
      </c>
      <c r="D670" s="17" t="s">
        <v>31</v>
      </c>
      <c r="E670" s="17" t="s">
        <v>32</v>
      </c>
      <c r="F670" s="17" t="s">
        <v>33</v>
      </c>
      <c r="G670">
        <v>2</v>
      </c>
      <c r="H670">
        <v>25000</v>
      </c>
      <c r="I670">
        <v>11000</v>
      </c>
      <c r="J670">
        <v>5000</v>
      </c>
      <c r="K670" s="17">
        <f>(Fact_Ventas_Detalle[[#This Row],[Cantidad]]*Fact_Ventas_Detalle[[#This Row],[Precio Unitario]])-Fact_Ventas_Detalle[[#This Row],[Descuento Linea]]</f>
        <v>45000</v>
      </c>
    </row>
    <row r="671" spans="1:11" x14ac:dyDescent="0.25">
      <c r="A671">
        <v>56</v>
      </c>
      <c r="B671" s="17" t="s">
        <v>217</v>
      </c>
      <c r="C671">
        <v>1</v>
      </c>
      <c r="D671" s="17" t="s">
        <v>17</v>
      </c>
      <c r="E671" s="17" t="s">
        <v>18</v>
      </c>
      <c r="F671" s="17" t="s">
        <v>19</v>
      </c>
      <c r="G671">
        <v>1</v>
      </c>
      <c r="H671">
        <v>65000</v>
      </c>
      <c r="I671">
        <v>35000</v>
      </c>
      <c r="J671">
        <v>6500</v>
      </c>
      <c r="K671" s="17">
        <f>(Fact_Ventas_Detalle[[#This Row],[Cantidad]]*Fact_Ventas_Detalle[[#This Row],[Precio Unitario]])-Fact_Ventas_Detalle[[#This Row],[Descuento Linea]]</f>
        <v>58500</v>
      </c>
    </row>
    <row r="672" spans="1:11" x14ac:dyDescent="0.25">
      <c r="A672">
        <v>57</v>
      </c>
      <c r="B672" s="17" t="s">
        <v>218</v>
      </c>
      <c r="C672">
        <v>1</v>
      </c>
      <c r="D672" s="17" t="s">
        <v>17</v>
      </c>
      <c r="E672" s="17" t="s">
        <v>18</v>
      </c>
      <c r="F672" s="17" t="s">
        <v>19</v>
      </c>
      <c r="G672">
        <v>1</v>
      </c>
      <c r="H672">
        <v>65000</v>
      </c>
      <c r="I672">
        <v>35000</v>
      </c>
      <c r="J672">
        <v>0</v>
      </c>
      <c r="K672" s="17">
        <f>(Fact_Ventas_Detalle[[#This Row],[Cantidad]]*Fact_Ventas_Detalle[[#This Row],[Precio Unitario]])-Fact_Ventas_Detalle[[#This Row],[Descuento Linea]]</f>
        <v>65000</v>
      </c>
    </row>
    <row r="673" spans="1:11" x14ac:dyDescent="0.25">
      <c r="A673">
        <v>57</v>
      </c>
      <c r="B673" s="17" t="s">
        <v>219</v>
      </c>
      <c r="C673">
        <v>1</v>
      </c>
      <c r="D673" s="17" t="s">
        <v>17</v>
      </c>
      <c r="E673" s="17" t="s">
        <v>18</v>
      </c>
      <c r="F673" s="17" t="s">
        <v>19</v>
      </c>
      <c r="G673">
        <v>2</v>
      </c>
      <c r="H673">
        <v>65000</v>
      </c>
      <c r="I673">
        <v>35000</v>
      </c>
      <c r="J673">
        <v>0</v>
      </c>
      <c r="K673" s="17">
        <f>(Fact_Ventas_Detalle[[#This Row],[Cantidad]]*Fact_Ventas_Detalle[[#This Row],[Precio Unitario]])-Fact_Ventas_Detalle[[#This Row],[Descuento Linea]]</f>
        <v>130000</v>
      </c>
    </row>
    <row r="674" spans="1:11" x14ac:dyDescent="0.25">
      <c r="A674">
        <v>57</v>
      </c>
      <c r="B674" s="17" t="s">
        <v>216</v>
      </c>
      <c r="C674">
        <v>2</v>
      </c>
      <c r="D674" s="17" t="s">
        <v>31</v>
      </c>
      <c r="E674" s="17" t="s">
        <v>32</v>
      </c>
      <c r="F674" s="17" t="s">
        <v>33</v>
      </c>
      <c r="G674">
        <v>1</v>
      </c>
      <c r="H674">
        <v>25000</v>
      </c>
      <c r="I674">
        <v>11000</v>
      </c>
      <c r="J674">
        <v>0</v>
      </c>
      <c r="K674" s="17">
        <f>(Fact_Ventas_Detalle[[#This Row],[Cantidad]]*Fact_Ventas_Detalle[[#This Row],[Precio Unitario]])-Fact_Ventas_Detalle[[#This Row],[Descuento Linea]]</f>
        <v>25000</v>
      </c>
    </row>
    <row r="675" spans="1:11" x14ac:dyDescent="0.25">
      <c r="A675">
        <v>57</v>
      </c>
      <c r="B675" s="17" t="s">
        <v>217</v>
      </c>
      <c r="C675">
        <v>2</v>
      </c>
      <c r="D675" s="17" t="s">
        <v>31</v>
      </c>
      <c r="E675" s="17" t="s">
        <v>32</v>
      </c>
      <c r="F675" s="17" t="s">
        <v>33</v>
      </c>
      <c r="G675">
        <v>3</v>
      </c>
      <c r="H675">
        <v>25000</v>
      </c>
      <c r="I675">
        <v>11000</v>
      </c>
      <c r="J675">
        <v>0</v>
      </c>
      <c r="K675" s="17">
        <f>(Fact_Ventas_Detalle[[#This Row],[Cantidad]]*Fact_Ventas_Detalle[[#This Row],[Precio Unitario]])-Fact_Ventas_Detalle[[#This Row],[Descuento Linea]]</f>
        <v>75000</v>
      </c>
    </row>
    <row r="676" spans="1:11" x14ac:dyDescent="0.25">
      <c r="A676">
        <v>57</v>
      </c>
      <c r="B676" s="17" t="s">
        <v>214</v>
      </c>
      <c r="C676">
        <v>3</v>
      </c>
      <c r="D676" s="17" t="s">
        <v>37</v>
      </c>
      <c r="E676" s="17" t="s">
        <v>38</v>
      </c>
      <c r="F676" s="17" t="s">
        <v>33</v>
      </c>
      <c r="G676">
        <v>1</v>
      </c>
      <c r="H676">
        <v>45000</v>
      </c>
      <c r="I676">
        <v>22000</v>
      </c>
      <c r="J676">
        <v>0</v>
      </c>
      <c r="K676" s="17">
        <f>(Fact_Ventas_Detalle[[#This Row],[Cantidad]]*Fact_Ventas_Detalle[[#This Row],[Precio Unitario]])-Fact_Ventas_Detalle[[#This Row],[Descuento Linea]]</f>
        <v>45000</v>
      </c>
    </row>
    <row r="677" spans="1:11" x14ac:dyDescent="0.25">
      <c r="A677">
        <v>57</v>
      </c>
      <c r="B677" s="17" t="s">
        <v>210</v>
      </c>
      <c r="C677">
        <v>4</v>
      </c>
      <c r="D677" s="17" t="s">
        <v>17</v>
      </c>
      <c r="E677" s="17" t="s">
        <v>18</v>
      </c>
      <c r="F677" s="17" t="s">
        <v>19</v>
      </c>
      <c r="G677">
        <v>1</v>
      </c>
      <c r="H677">
        <v>65000</v>
      </c>
      <c r="I677">
        <v>35000</v>
      </c>
      <c r="J677">
        <v>0</v>
      </c>
      <c r="K677" s="17">
        <f>(Fact_Ventas_Detalle[[#This Row],[Cantidad]]*Fact_Ventas_Detalle[[#This Row],[Precio Unitario]])-Fact_Ventas_Detalle[[#This Row],[Descuento Linea]]</f>
        <v>65000</v>
      </c>
    </row>
    <row r="678" spans="1:11" x14ac:dyDescent="0.25">
      <c r="A678">
        <v>57</v>
      </c>
      <c r="B678" s="17" t="s">
        <v>700</v>
      </c>
      <c r="C678">
        <v>3</v>
      </c>
      <c r="D678" s="17" t="s">
        <v>39</v>
      </c>
      <c r="E678" s="17" t="s">
        <v>40</v>
      </c>
      <c r="F678" s="17" t="s">
        <v>14</v>
      </c>
      <c r="G678">
        <v>3</v>
      </c>
      <c r="H678">
        <v>75000</v>
      </c>
      <c r="I678">
        <v>42000</v>
      </c>
      <c r="J678">
        <v>22500</v>
      </c>
      <c r="K678" s="17">
        <f>(Fact_Ventas_Detalle[[#This Row],[Cantidad]]*Fact_Ventas_Detalle[[#This Row],[Precio Unitario]])-Fact_Ventas_Detalle[[#This Row],[Descuento Linea]]</f>
        <v>202500</v>
      </c>
    </row>
    <row r="679" spans="1:11" x14ac:dyDescent="0.25">
      <c r="A679">
        <v>57</v>
      </c>
      <c r="B679" s="17" t="s">
        <v>454</v>
      </c>
      <c r="C679">
        <v>2</v>
      </c>
      <c r="D679" s="17" t="s">
        <v>12</v>
      </c>
      <c r="E679" s="17" t="s">
        <v>13</v>
      </c>
      <c r="F679" s="17" t="s">
        <v>14</v>
      </c>
      <c r="G679">
        <v>3</v>
      </c>
      <c r="H679">
        <v>280000</v>
      </c>
      <c r="I679">
        <v>190000</v>
      </c>
      <c r="J679">
        <v>84000</v>
      </c>
      <c r="K679" s="17">
        <f>(Fact_Ventas_Detalle[[#This Row],[Cantidad]]*Fact_Ventas_Detalle[[#This Row],[Precio Unitario]])-Fact_Ventas_Detalle[[#This Row],[Descuento Linea]]</f>
        <v>756000</v>
      </c>
    </row>
    <row r="680" spans="1:11" x14ac:dyDescent="0.25">
      <c r="A680">
        <v>57</v>
      </c>
      <c r="B680" s="17" t="s">
        <v>579</v>
      </c>
      <c r="C680">
        <v>2</v>
      </c>
      <c r="D680" s="17" t="s">
        <v>17</v>
      </c>
      <c r="E680" s="17" t="s">
        <v>18</v>
      </c>
      <c r="F680" s="17" t="s">
        <v>19</v>
      </c>
      <c r="G680">
        <v>1</v>
      </c>
      <c r="H680">
        <v>65000</v>
      </c>
      <c r="I680">
        <v>35000</v>
      </c>
      <c r="J680">
        <v>6500</v>
      </c>
      <c r="K680" s="17">
        <f>(Fact_Ventas_Detalle[[#This Row],[Cantidad]]*Fact_Ventas_Detalle[[#This Row],[Precio Unitario]])-Fact_Ventas_Detalle[[#This Row],[Descuento Linea]]</f>
        <v>58500</v>
      </c>
    </row>
    <row r="681" spans="1:11" x14ac:dyDescent="0.25">
      <c r="A681">
        <v>57</v>
      </c>
      <c r="B681" s="17" t="s">
        <v>221</v>
      </c>
      <c r="C681">
        <v>1</v>
      </c>
      <c r="D681" s="17" t="s">
        <v>39</v>
      </c>
      <c r="E681" s="17" t="s">
        <v>40</v>
      </c>
      <c r="F681" s="17" t="s">
        <v>14</v>
      </c>
      <c r="G681">
        <v>2</v>
      </c>
      <c r="H681">
        <v>75000</v>
      </c>
      <c r="I681">
        <v>42000</v>
      </c>
      <c r="J681">
        <v>7500</v>
      </c>
      <c r="K681" s="17">
        <f>(Fact_Ventas_Detalle[[#This Row],[Cantidad]]*Fact_Ventas_Detalle[[#This Row],[Precio Unitario]])-Fact_Ventas_Detalle[[#This Row],[Descuento Linea]]</f>
        <v>142500</v>
      </c>
    </row>
    <row r="682" spans="1:11" x14ac:dyDescent="0.25">
      <c r="A682">
        <v>57</v>
      </c>
      <c r="B682" s="17" t="s">
        <v>220</v>
      </c>
      <c r="C682">
        <v>1</v>
      </c>
      <c r="D682" s="17" t="s">
        <v>31</v>
      </c>
      <c r="E682" s="17" t="s">
        <v>32</v>
      </c>
      <c r="F682" s="17" t="s">
        <v>33</v>
      </c>
      <c r="G682">
        <v>1</v>
      </c>
      <c r="H682">
        <v>25000</v>
      </c>
      <c r="I682">
        <v>11000</v>
      </c>
      <c r="J682">
        <v>2500</v>
      </c>
      <c r="K682" s="17">
        <f>(Fact_Ventas_Detalle[[#This Row],[Cantidad]]*Fact_Ventas_Detalle[[#This Row],[Precio Unitario]])-Fact_Ventas_Detalle[[#This Row],[Descuento Linea]]</f>
        <v>22500</v>
      </c>
    </row>
    <row r="683" spans="1:11" x14ac:dyDescent="0.25">
      <c r="A683">
        <v>58</v>
      </c>
      <c r="B683" s="17" t="s">
        <v>222</v>
      </c>
      <c r="C683">
        <v>1</v>
      </c>
      <c r="D683" s="17" t="s">
        <v>37</v>
      </c>
      <c r="E683" s="17" t="s">
        <v>38</v>
      </c>
      <c r="F683" s="17" t="s">
        <v>33</v>
      </c>
      <c r="G683">
        <v>3</v>
      </c>
      <c r="H683">
        <v>45000</v>
      </c>
      <c r="I683">
        <v>22000</v>
      </c>
      <c r="J683">
        <v>0</v>
      </c>
      <c r="K683" s="17">
        <f>(Fact_Ventas_Detalle[[#This Row],[Cantidad]]*Fact_Ventas_Detalle[[#This Row],[Precio Unitario]])-Fact_Ventas_Detalle[[#This Row],[Descuento Linea]]</f>
        <v>135000</v>
      </c>
    </row>
    <row r="684" spans="1:11" x14ac:dyDescent="0.25">
      <c r="A684">
        <v>58</v>
      </c>
      <c r="B684" s="17" t="s">
        <v>223</v>
      </c>
      <c r="C684">
        <v>1</v>
      </c>
      <c r="D684" s="17" t="s">
        <v>37</v>
      </c>
      <c r="E684" s="17" t="s">
        <v>38</v>
      </c>
      <c r="F684" s="17" t="s">
        <v>33</v>
      </c>
      <c r="G684">
        <v>1</v>
      </c>
      <c r="H684">
        <v>45000</v>
      </c>
      <c r="I684">
        <v>22000</v>
      </c>
      <c r="J684">
        <v>0</v>
      </c>
      <c r="K684" s="17">
        <f>(Fact_Ventas_Detalle[[#This Row],[Cantidad]]*Fact_Ventas_Detalle[[#This Row],[Precio Unitario]])-Fact_Ventas_Detalle[[#This Row],[Descuento Linea]]</f>
        <v>45000</v>
      </c>
    </row>
    <row r="685" spans="1:11" x14ac:dyDescent="0.25">
      <c r="A685">
        <v>58</v>
      </c>
      <c r="B685" s="17" t="s">
        <v>218</v>
      </c>
      <c r="C685">
        <v>2</v>
      </c>
      <c r="D685" s="17" t="s">
        <v>17</v>
      </c>
      <c r="E685" s="17" t="s">
        <v>18</v>
      </c>
      <c r="F685" s="17" t="s">
        <v>19</v>
      </c>
      <c r="G685">
        <v>3</v>
      </c>
      <c r="H685">
        <v>65000</v>
      </c>
      <c r="I685">
        <v>35000</v>
      </c>
      <c r="J685">
        <v>0</v>
      </c>
      <c r="K685" s="17">
        <f>(Fact_Ventas_Detalle[[#This Row],[Cantidad]]*Fact_Ventas_Detalle[[#This Row],[Precio Unitario]])-Fact_Ventas_Detalle[[#This Row],[Descuento Linea]]</f>
        <v>195000</v>
      </c>
    </row>
    <row r="686" spans="1:11" x14ac:dyDescent="0.25">
      <c r="A686">
        <v>58</v>
      </c>
      <c r="B686" s="17" t="s">
        <v>221</v>
      </c>
      <c r="C686">
        <v>2</v>
      </c>
      <c r="D686" s="17" t="s">
        <v>37</v>
      </c>
      <c r="E686" s="17" t="s">
        <v>38</v>
      </c>
      <c r="F686" s="17" t="s">
        <v>33</v>
      </c>
      <c r="G686">
        <v>3</v>
      </c>
      <c r="H686">
        <v>45000</v>
      </c>
      <c r="I686">
        <v>22000</v>
      </c>
      <c r="J686">
        <v>0</v>
      </c>
      <c r="K686" s="17">
        <f>(Fact_Ventas_Detalle[[#This Row],[Cantidad]]*Fact_Ventas_Detalle[[#This Row],[Precio Unitario]])-Fact_Ventas_Detalle[[#This Row],[Descuento Linea]]</f>
        <v>135000</v>
      </c>
    </row>
    <row r="687" spans="1:11" x14ac:dyDescent="0.25">
      <c r="A687">
        <v>58</v>
      </c>
      <c r="B687" s="17" t="s">
        <v>219</v>
      </c>
      <c r="C687">
        <v>2</v>
      </c>
      <c r="D687" s="17" t="s">
        <v>42</v>
      </c>
      <c r="E687" s="17" t="s">
        <v>43</v>
      </c>
      <c r="F687" s="17" t="s">
        <v>29</v>
      </c>
      <c r="G687">
        <v>1</v>
      </c>
      <c r="H687">
        <v>185000</v>
      </c>
      <c r="I687">
        <v>115000</v>
      </c>
      <c r="J687">
        <v>0</v>
      </c>
      <c r="K687" s="17">
        <f>(Fact_Ventas_Detalle[[#This Row],[Cantidad]]*Fact_Ventas_Detalle[[#This Row],[Precio Unitario]])-Fact_Ventas_Detalle[[#This Row],[Descuento Linea]]</f>
        <v>185000</v>
      </c>
    </row>
    <row r="688" spans="1:11" x14ac:dyDescent="0.25">
      <c r="A688">
        <v>58</v>
      </c>
      <c r="B688" s="17" t="s">
        <v>216</v>
      </c>
      <c r="C688">
        <v>3</v>
      </c>
      <c r="D688" s="17" t="s">
        <v>27</v>
      </c>
      <c r="E688" s="17" t="s">
        <v>28</v>
      </c>
      <c r="F688" s="17" t="s">
        <v>29</v>
      </c>
      <c r="G688">
        <v>1</v>
      </c>
      <c r="H688">
        <v>240000</v>
      </c>
      <c r="I688">
        <v>150000</v>
      </c>
      <c r="J688">
        <v>0</v>
      </c>
      <c r="K688" s="17">
        <f>(Fact_Ventas_Detalle[[#This Row],[Cantidad]]*Fact_Ventas_Detalle[[#This Row],[Precio Unitario]])-Fact_Ventas_Detalle[[#This Row],[Descuento Linea]]</f>
        <v>240000</v>
      </c>
    </row>
    <row r="689" spans="1:11" x14ac:dyDescent="0.25">
      <c r="A689">
        <v>58</v>
      </c>
      <c r="B689" s="17" t="s">
        <v>217</v>
      </c>
      <c r="C689">
        <v>3</v>
      </c>
      <c r="D689" s="17" t="s">
        <v>31</v>
      </c>
      <c r="E689" s="17" t="s">
        <v>32</v>
      </c>
      <c r="F689" s="17" t="s">
        <v>33</v>
      </c>
      <c r="G689">
        <v>2</v>
      </c>
      <c r="H689">
        <v>25000</v>
      </c>
      <c r="I689">
        <v>11000</v>
      </c>
      <c r="J689">
        <v>0</v>
      </c>
      <c r="K689" s="17">
        <f>(Fact_Ventas_Detalle[[#This Row],[Cantidad]]*Fact_Ventas_Detalle[[#This Row],[Precio Unitario]])-Fact_Ventas_Detalle[[#This Row],[Descuento Linea]]</f>
        <v>50000</v>
      </c>
    </row>
    <row r="690" spans="1:11" x14ac:dyDescent="0.25">
      <c r="A690">
        <v>58</v>
      </c>
      <c r="B690" s="17" t="s">
        <v>454</v>
      </c>
      <c r="C690">
        <v>3</v>
      </c>
      <c r="D690" s="17" t="s">
        <v>24</v>
      </c>
      <c r="E690" s="17" t="s">
        <v>25</v>
      </c>
      <c r="F690" s="17" t="s">
        <v>14</v>
      </c>
      <c r="G690">
        <v>1</v>
      </c>
      <c r="H690">
        <v>850000</v>
      </c>
      <c r="I690">
        <v>620000</v>
      </c>
      <c r="J690">
        <v>0</v>
      </c>
      <c r="K690" s="17">
        <f>(Fact_Ventas_Detalle[[#This Row],[Cantidad]]*Fact_Ventas_Detalle[[#This Row],[Precio Unitario]])-Fact_Ventas_Detalle[[#This Row],[Descuento Linea]]</f>
        <v>850000</v>
      </c>
    </row>
    <row r="691" spans="1:11" x14ac:dyDescent="0.25">
      <c r="A691">
        <v>58</v>
      </c>
      <c r="B691" s="17" t="s">
        <v>700</v>
      </c>
      <c r="C691">
        <v>4</v>
      </c>
      <c r="D691" s="17" t="s">
        <v>39</v>
      </c>
      <c r="E691" s="17" t="s">
        <v>40</v>
      </c>
      <c r="F691" s="17" t="s">
        <v>14</v>
      </c>
      <c r="G691">
        <v>3</v>
      </c>
      <c r="H691">
        <v>75000</v>
      </c>
      <c r="I691">
        <v>42000</v>
      </c>
      <c r="J691">
        <v>22500</v>
      </c>
      <c r="K691" s="17">
        <f>(Fact_Ventas_Detalle[[#This Row],[Cantidad]]*Fact_Ventas_Detalle[[#This Row],[Precio Unitario]])-Fact_Ventas_Detalle[[#This Row],[Descuento Linea]]</f>
        <v>202500</v>
      </c>
    </row>
    <row r="692" spans="1:11" x14ac:dyDescent="0.25">
      <c r="A692">
        <v>58</v>
      </c>
      <c r="B692" s="17" t="s">
        <v>579</v>
      </c>
      <c r="C692">
        <v>3</v>
      </c>
      <c r="D692" s="17" t="s">
        <v>17</v>
      </c>
      <c r="E692" s="17" t="s">
        <v>18</v>
      </c>
      <c r="F692" s="17" t="s">
        <v>19</v>
      </c>
      <c r="G692">
        <v>2</v>
      </c>
      <c r="H692">
        <v>65000</v>
      </c>
      <c r="I692">
        <v>35000</v>
      </c>
      <c r="J692">
        <v>6500</v>
      </c>
      <c r="K692" s="17">
        <f>(Fact_Ventas_Detalle[[#This Row],[Cantidad]]*Fact_Ventas_Detalle[[#This Row],[Precio Unitario]])-Fact_Ventas_Detalle[[#This Row],[Descuento Linea]]</f>
        <v>123500</v>
      </c>
    </row>
    <row r="693" spans="1:11" x14ac:dyDescent="0.25">
      <c r="A693">
        <v>58</v>
      </c>
      <c r="B693" s="17" t="s">
        <v>220</v>
      </c>
      <c r="C693">
        <v>2</v>
      </c>
      <c r="D693" s="17" t="s">
        <v>39</v>
      </c>
      <c r="E693" s="17" t="s">
        <v>40</v>
      </c>
      <c r="F693" s="17" t="s">
        <v>14</v>
      </c>
      <c r="G693">
        <v>2</v>
      </c>
      <c r="H693">
        <v>75000</v>
      </c>
      <c r="I693">
        <v>42000</v>
      </c>
      <c r="J693">
        <v>7500</v>
      </c>
      <c r="K693" s="17">
        <f>(Fact_Ventas_Detalle[[#This Row],[Cantidad]]*Fact_Ventas_Detalle[[#This Row],[Precio Unitario]])-Fact_Ventas_Detalle[[#This Row],[Descuento Linea]]</f>
        <v>142500</v>
      </c>
    </row>
    <row r="694" spans="1:11" x14ac:dyDescent="0.25">
      <c r="A694">
        <v>59</v>
      </c>
      <c r="B694" s="17" t="s">
        <v>224</v>
      </c>
      <c r="C694">
        <v>1</v>
      </c>
      <c r="D694" s="17" t="s">
        <v>42</v>
      </c>
      <c r="E694" s="17" t="s">
        <v>43</v>
      </c>
      <c r="F694" s="17" t="s">
        <v>29</v>
      </c>
      <c r="G694">
        <v>3</v>
      </c>
      <c r="H694">
        <v>185000</v>
      </c>
      <c r="I694">
        <v>115000</v>
      </c>
      <c r="J694">
        <v>0</v>
      </c>
      <c r="K694" s="17">
        <f>(Fact_Ventas_Detalle[[#This Row],[Cantidad]]*Fact_Ventas_Detalle[[#This Row],[Precio Unitario]])-Fact_Ventas_Detalle[[#This Row],[Descuento Linea]]</f>
        <v>555000</v>
      </c>
    </row>
    <row r="695" spans="1:11" x14ac:dyDescent="0.25">
      <c r="A695">
        <v>59</v>
      </c>
      <c r="B695" s="17" t="s">
        <v>456</v>
      </c>
      <c r="C695">
        <v>1</v>
      </c>
      <c r="D695" s="17" t="s">
        <v>27</v>
      </c>
      <c r="E695" s="17" t="s">
        <v>28</v>
      </c>
      <c r="F695" s="17" t="s">
        <v>29</v>
      </c>
      <c r="G695">
        <v>3</v>
      </c>
      <c r="H695">
        <v>240000</v>
      </c>
      <c r="I695">
        <v>150000</v>
      </c>
      <c r="J695">
        <v>0</v>
      </c>
      <c r="K695" s="17">
        <f>(Fact_Ventas_Detalle[[#This Row],[Cantidad]]*Fact_Ventas_Detalle[[#This Row],[Precio Unitario]])-Fact_Ventas_Detalle[[#This Row],[Descuento Linea]]</f>
        <v>720000</v>
      </c>
    </row>
    <row r="696" spans="1:11" x14ac:dyDescent="0.25">
      <c r="A696">
        <v>59</v>
      </c>
      <c r="B696" s="17" t="s">
        <v>225</v>
      </c>
      <c r="C696">
        <v>1</v>
      </c>
      <c r="D696" s="17" t="s">
        <v>37</v>
      </c>
      <c r="E696" s="17" t="s">
        <v>38</v>
      </c>
      <c r="F696" s="17" t="s">
        <v>33</v>
      </c>
      <c r="G696">
        <v>1</v>
      </c>
      <c r="H696">
        <v>45000</v>
      </c>
      <c r="I696">
        <v>22000</v>
      </c>
      <c r="J696">
        <v>0</v>
      </c>
      <c r="K696" s="17">
        <f>(Fact_Ventas_Detalle[[#This Row],[Cantidad]]*Fact_Ventas_Detalle[[#This Row],[Precio Unitario]])-Fact_Ventas_Detalle[[#This Row],[Descuento Linea]]</f>
        <v>45000</v>
      </c>
    </row>
    <row r="697" spans="1:11" x14ac:dyDescent="0.25">
      <c r="A697">
        <v>59</v>
      </c>
      <c r="B697" s="17" t="s">
        <v>432</v>
      </c>
      <c r="C697">
        <v>1</v>
      </c>
      <c r="D697" s="17" t="s">
        <v>37</v>
      </c>
      <c r="E697" s="17" t="s">
        <v>38</v>
      </c>
      <c r="F697" s="17" t="s">
        <v>33</v>
      </c>
      <c r="G697">
        <v>1</v>
      </c>
      <c r="H697">
        <v>45000</v>
      </c>
      <c r="I697">
        <v>22000</v>
      </c>
      <c r="J697">
        <v>0</v>
      </c>
      <c r="K697" s="17">
        <f>(Fact_Ventas_Detalle[[#This Row],[Cantidad]]*Fact_Ventas_Detalle[[#This Row],[Precio Unitario]])-Fact_Ventas_Detalle[[#This Row],[Descuento Linea]]</f>
        <v>45000</v>
      </c>
    </row>
    <row r="698" spans="1:11" x14ac:dyDescent="0.25">
      <c r="A698">
        <v>59</v>
      </c>
      <c r="B698" s="17" t="s">
        <v>220</v>
      </c>
      <c r="C698">
        <v>3</v>
      </c>
      <c r="D698" s="17" t="s">
        <v>39</v>
      </c>
      <c r="E698" s="17" t="s">
        <v>40</v>
      </c>
      <c r="F698" s="17" t="s">
        <v>14</v>
      </c>
      <c r="G698">
        <v>1</v>
      </c>
      <c r="H698">
        <v>75000</v>
      </c>
      <c r="I698">
        <v>42000</v>
      </c>
      <c r="J698">
        <v>0</v>
      </c>
      <c r="K698" s="17">
        <f>(Fact_Ventas_Detalle[[#This Row],[Cantidad]]*Fact_Ventas_Detalle[[#This Row],[Precio Unitario]])-Fact_Ventas_Detalle[[#This Row],[Descuento Linea]]</f>
        <v>75000</v>
      </c>
    </row>
    <row r="699" spans="1:11" x14ac:dyDescent="0.25">
      <c r="A699">
        <v>59</v>
      </c>
      <c r="B699" s="17" t="s">
        <v>579</v>
      </c>
      <c r="C699">
        <v>4</v>
      </c>
      <c r="D699" s="17" t="s">
        <v>17</v>
      </c>
      <c r="E699" s="17" t="s">
        <v>18</v>
      </c>
      <c r="F699" s="17" t="s">
        <v>19</v>
      </c>
      <c r="G699">
        <v>2</v>
      </c>
      <c r="H699">
        <v>65000</v>
      </c>
      <c r="I699">
        <v>35000</v>
      </c>
      <c r="J699">
        <v>6500</v>
      </c>
      <c r="K699" s="17">
        <f>(Fact_Ventas_Detalle[[#This Row],[Cantidad]]*Fact_Ventas_Detalle[[#This Row],[Precio Unitario]])-Fact_Ventas_Detalle[[#This Row],[Descuento Linea]]</f>
        <v>123500</v>
      </c>
    </row>
    <row r="700" spans="1:11" x14ac:dyDescent="0.25">
      <c r="A700">
        <v>59</v>
      </c>
      <c r="B700" s="17" t="s">
        <v>221</v>
      </c>
      <c r="C700">
        <v>3</v>
      </c>
      <c r="D700" s="17" t="s">
        <v>31</v>
      </c>
      <c r="E700" s="17" t="s">
        <v>32</v>
      </c>
      <c r="F700" s="17" t="s">
        <v>33</v>
      </c>
      <c r="G700">
        <v>3</v>
      </c>
      <c r="H700">
        <v>25000</v>
      </c>
      <c r="I700">
        <v>11000</v>
      </c>
      <c r="J700">
        <v>3750</v>
      </c>
      <c r="K700" s="17">
        <f>(Fact_Ventas_Detalle[[#This Row],[Cantidad]]*Fact_Ventas_Detalle[[#This Row],[Precio Unitario]])-Fact_Ventas_Detalle[[#This Row],[Descuento Linea]]</f>
        <v>71250</v>
      </c>
    </row>
    <row r="701" spans="1:11" x14ac:dyDescent="0.25">
      <c r="A701">
        <v>59</v>
      </c>
      <c r="B701" s="17" t="s">
        <v>219</v>
      </c>
      <c r="C701">
        <v>3</v>
      </c>
      <c r="D701" s="17" t="s">
        <v>31</v>
      </c>
      <c r="E701" s="17" t="s">
        <v>32</v>
      </c>
      <c r="F701" s="17" t="s">
        <v>33</v>
      </c>
      <c r="G701">
        <v>3</v>
      </c>
      <c r="H701">
        <v>25000</v>
      </c>
      <c r="I701">
        <v>11000</v>
      </c>
      <c r="J701">
        <v>7500</v>
      </c>
      <c r="K701" s="17">
        <f>(Fact_Ventas_Detalle[[#This Row],[Cantidad]]*Fact_Ventas_Detalle[[#This Row],[Precio Unitario]])-Fact_Ventas_Detalle[[#This Row],[Descuento Linea]]</f>
        <v>67500</v>
      </c>
    </row>
    <row r="702" spans="1:11" x14ac:dyDescent="0.25">
      <c r="A702">
        <v>59</v>
      </c>
      <c r="B702" s="17" t="s">
        <v>223</v>
      </c>
      <c r="C702">
        <v>2</v>
      </c>
      <c r="D702" s="17" t="s">
        <v>12</v>
      </c>
      <c r="E702" s="17" t="s">
        <v>13</v>
      </c>
      <c r="F702" s="17" t="s">
        <v>14</v>
      </c>
      <c r="G702">
        <v>1</v>
      </c>
      <c r="H702">
        <v>280000</v>
      </c>
      <c r="I702">
        <v>190000</v>
      </c>
      <c r="J702">
        <v>14000</v>
      </c>
      <c r="K702" s="17">
        <f>(Fact_Ventas_Detalle[[#This Row],[Cantidad]]*Fact_Ventas_Detalle[[#This Row],[Precio Unitario]])-Fact_Ventas_Detalle[[#This Row],[Descuento Linea]]</f>
        <v>266000</v>
      </c>
    </row>
    <row r="703" spans="1:11" x14ac:dyDescent="0.25">
      <c r="A703">
        <v>59</v>
      </c>
      <c r="B703" s="17" t="s">
        <v>226</v>
      </c>
      <c r="C703">
        <v>1</v>
      </c>
      <c r="D703" s="17" t="s">
        <v>27</v>
      </c>
      <c r="E703" s="17" t="s">
        <v>28</v>
      </c>
      <c r="F703" s="17" t="s">
        <v>29</v>
      </c>
      <c r="G703">
        <v>1</v>
      </c>
      <c r="H703">
        <v>240000</v>
      </c>
      <c r="I703">
        <v>150000</v>
      </c>
      <c r="J703">
        <v>24000</v>
      </c>
      <c r="K703" s="17">
        <f>(Fact_Ventas_Detalle[[#This Row],[Cantidad]]*Fact_Ventas_Detalle[[#This Row],[Precio Unitario]])-Fact_Ventas_Detalle[[#This Row],[Descuento Linea]]</f>
        <v>216000</v>
      </c>
    </row>
    <row r="704" spans="1:11" x14ac:dyDescent="0.25">
      <c r="A704">
        <v>59</v>
      </c>
      <c r="B704" s="17" t="s">
        <v>227</v>
      </c>
      <c r="C704">
        <v>1</v>
      </c>
      <c r="D704" s="17" t="s">
        <v>37</v>
      </c>
      <c r="E704" s="17" t="s">
        <v>38</v>
      </c>
      <c r="F704" s="17" t="s">
        <v>33</v>
      </c>
      <c r="G704">
        <v>1</v>
      </c>
      <c r="H704">
        <v>45000</v>
      </c>
      <c r="I704">
        <v>22000</v>
      </c>
      <c r="J704">
        <v>2250</v>
      </c>
      <c r="K704" s="17">
        <f>(Fact_Ventas_Detalle[[#This Row],[Cantidad]]*Fact_Ventas_Detalle[[#This Row],[Precio Unitario]])-Fact_Ventas_Detalle[[#This Row],[Descuento Linea]]</f>
        <v>42750</v>
      </c>
    </row>
    <row r="705" spans="1:11" x14ac:dyDescent="0.25">
      <c r="A705">
        <v>60</v>
      </c>
      <c r="B705" s="17" t="s">
        <v>228</v>
      </c>
      <c r="C705">
        <v>1</v>
      </c>
      <c r="D705" s="17" t="s">
        <v>42</v>
      </c>
      <c r="E705" s="17" t="s">
        <v>43</v>
      </c>
      <c r="F705" s="17" t="s">
        <v>29</v>
      </c>
      <c r="G705">
        <v>3</v>
      </c>
      <c r="H705">
        <v>185000</v>
      </c>
      <c r="I705">
        <v>115000</v>
      </c>
      <c r="J705">
        <v>0</v>
      </c>
      <c r="K705" s="17">
        <f>(Fact_Ventas_Detalle[[#This Row],[Cantidad]]*Fact_Ventas_Detalle[[#This Row],[Precio Unitario]])-Fact_Ventas_Detalle[[#This Row],[Descuento Linea]]</f>
        <v>555000</v>
      </c>
    </row>
    <row r="706" spans="1:11" x14ac:dyDescent="0.25">
      <c r="A706">
        <v>60</v>
      </c>
      <c r="B706" s="17" t="s">
        <v>231</v>
      </c>
      <c r="C706">
        <v>1</v>
      </c>
      <c r="D706" s="17" t="s">
        <v>42</v>
      </c>
      <c r="E706" s="17" t="s">
        <v>43</v>
      </c>
      <c r="F706" s="17" t="s">
        <v>29</v>
      </c>
      <c r="G706">
        <v>3</v>
      </c>
      <c r="H706">
        <v>185000</v>
      </c>
      <c r="I706">
        <v>115000</v>
      </c>
      <c r="J706">
        <v>0</v>
      </c>
      <c r="K706" s="17">
        <f>(Fact_Ventas_Detalle[[#This Row],[Cantidad]]*Fact_Ventas_Detalle[[#This Row],[Precio Unitario]])-Fact_Ventas_Detalle[[#This Row],[Descuento Linea]]</f>
        <v>555000</v>
      </c>
    </row>
    <row r="707" spans="1:11" x14ac:dyDescent="0.25">
      <c r="A707">
        <v>60</v>
      </c>
      <c r="B707" s="17" t="s">
        <v>229</v>
      </c>
      <c r="C707">
        <v>1</v>
      </c>
      <c r="D707" s="17" t="s">
        <v>37</v>
      </c>
      <c r="E707" s="17" t="s">
        <v>38</v>
      </c>
      <c r="F707" s="17" t="s">
        <v>33</v>
      </c>
      <c r="G707">
        <v>1</v>
      </c>
      <c r="H707">
        <v>45000</v>
      </c>
      <c r="I707">
        <v>22000</v>
      </c>
      <c r="J707">
        <v>0</v>
      </c>
      <c r="K707" s="17">
        <f>(Fact_Ventas_Detalle[[#This Row],[Cantidad]]*Fact_Ventas_Detalle[[#This Row],[Precio Unitario]])-Fact_Ventas_Detalle[[#This Row],[Descuento Linea]]</f>
        <v>45000</v>
      </c>
    </row>
    <row r="708" spans="1:11" x14ac:dyDescent="0.25">
      <c r="A708">
        <v>60</v>
      </c>
      <c r="B708" s="17" t="s">
        <v>230</v>
      </c>
      <c r="C708">
        <v>1</v>
      </c>
      <c r="D708" s="17" t="s">
        <v>31</v>
      </c>
      <c r="E708" s="17" t="s">
        <v>32</v>
      </c>
      <c r="F708" s="17" t="s">
        <v>33</v>
      </c>
      <c r="G708">
        <v>1</v>
      </c>
      <c r="H708">
        <v>25000</v>
      </c>
      <c r="I708">
        <v>11000</v>
      </c>
      <c r="J708">
        <v>0</v>
      </c>
      <c r="K708" s="17">
        <f>(Fact_Ventas_Detalle[[#This Row],[Cantidad]]*Fact_Ventas_Detalle[[#This Row],[Precio Unitario]])-Fact_Ventas_Detalle[[#This Row],[Descuento Linea]]</f>
        <v>25000</v>
      </c>
    </row>
    <row r="709" spans="1:11" x14ac:dyDescent="0.25">
      <c r="A709">
        <v>60</v>
      </c>
      <c r="B709" s="17" t="s">
        <v>627</v>
      </c>
      <c r="C709">
        <v>1</v>
      </c>
      <c r="D709" s="17" t="s">
        <v>27</v>
      </c>
      <c r="E709" s="17" t="s">
        <v>28</v>
      </c>
      <c r="F709" s="17" t="s">
        <v>29</v>
      </c>
      <c r="G709">
        <v>2</v>
      </c>
      <c r="H709">
        <v>240000</v>
      </c>
      <c r="I709">
        <v>150000</v>
      </c>
      <c r="J709">
        <v>0</v>
      </c>
      <c r="K709" s="17">
        <f>(Fact_Ventas_Detalle[[#This Row],[Cantidad]]*Fact_Ventas_Detalle[[#This Row],[Precio Unitario]])-Fact_Ventas_Detalle[[#This Row],[Descuento Linea]]</f>
        <v>480000</v>
      </c>
    </row>
    <row r="710" spans="1:11" x14ac:dyDescent="0.25">
      <c r="A710">
        <v>60</v>
      </c>
      <c r="B710" s="17" t="s">
        <v>227</v>
      </c>
      <c r="C710">
        <v>2</v>
      </c>
      <c r="D710" s="17" t="s">
        <v>39</v>
      </c>
      <c r="E710" s="17" t="s">
        <v>40</v>
      </c>
      <c r="F710" s="17" t="s">
        <v>14</v>
      </c>
      <c r="G710">
        <v>1</v>
      </c>
      <c r="H710">
        <v>75000</v>
      </c>
      <c r="I710">
        <v>42000</v>
      </c>
      <c r="J710">
        <v>0</v>
      </c>
      <c r="K710" s="17">
        <f>(Fact_Ventas_Detalle[[#This Row],[Cantidad]]*Fact_Ventas_Detalle[[#This Row],[Precio Unitario]])-Fact_Ventas_Detalle[[#This Row],[Descuento Linea]]</f>
        <v>75000</v>
      </c>
    </row>
    <row r="711" spans="1:11" x14ac:dyDescent="0.25">
      <c r="A711">
        <v>60</v>
      </c>
      <c r="B711" s="17" t="s">
        <v>224</v>
      </c>
      <c r="C711">
        <v>2</v>
      </c>
      <c r="D711" s="17" t="s">
        <v>24</v>
      </c>
      <c r="E711" s="17" t="s">
        <v>25</v>
      </c>
      <c r="F711" s="17" t="s">
        <v>14</v>
      </c>
      <c r="G711">
        <v>1</v>
      </c>
      <c r="H711">
        <v>850000</v>
      </c>
      <c r="I711">
        <v>620000</v>
      </c>
      <c r="J711">
        <v>0</v>
      </c>
      <c r="K711" s="17">
        <f>(Fact_Ventas_Detalle[[#This Row],[Cantidad]]*Fact_Ventas_Detalle[[#This Row],[Precio Unitario]])-Fact_Ventas_Detalle[[#This Row],[Descuento Linea]]</f>
        <v>850000</v>
      </c>
    </row>
    <row r="712" spans="1:11" x14ac:dyDescent="0.25">
      <c r="A712">
        <v>60</v>
      </c>
      <c r="B712" s="17" t="s">
        <v>232</v>
      </c>
      <c r="C712">
        <v>1</v>
      </c>
      <c r="D712" s="17" t="s">
        <v>27</v>
      </c>
      <c r="E712" s="17" t="s">
        <v>28</v>
      </c>
      <c r="F712" s="17" t="s">
        <v>29</v>
      </c>
      <c r="G712">
        <v>2</v>
      </c>
      <c r="H712">
        <v>240000</v>
      </c>
      <c r="I712">
        <v>150000</v>
      </c>
      <c r="J712">
        <v>24000</v>
      </c>
      <c r="K712" s="17">
        <f>(Fact_Ventas_Detalle[[#This Row],[Cantidad]]*Fact_Ventas_Detalle[[#This Row],[Precio Unitario]])-Fact_Ventas_Detalle[[#This Row],[Descuento Linea]]</f>
        <v>456000</v>
      </c>
    </row>
    <row r="713" spans="1:11" x14ac:dyDescent="0.25">
      <c r="A713">
        <v>60</v>
      </c>
      <c r="B713" s="17" t="s">
        <v>702</v>
      </c>
      <c r="C713">
        <v>1</v>
      </c>
      <c r="D713" s="17" t="s">
        <v>12</v>
      </c>
      <c r="E713" s="17" t="s">
        <v>13</v>
      </c>
      <c r="F713" s="17" t="s">
        <v>14</v>
      </c>
      <c r="G713">
        <v>2</v>
      </c>
      <c r="H713">
        <v>280000</v>
      </c>
      <c r="I713">
        <v>190000</v>
      </c>
      <c r="J713">
        <v>28000</v>
      </c>
      <c r="K713" s="17">
        <f>(Fact_Ventas_Detalle[[#This Row],[Cantidad]]*Fact_Ventas_Detalle[[#This Row],[Precio Unitario]])-Fact_Ventas_Detalle[[#This Row],[Descuento Linea]]</f>
        <v>532000</v>
      </c>
    </row>
    <row r="714" spans="1:11" x14ac:dyDescent="0.25">
      <c r="A714">
        <v>60</v>
      </c>
      <c r="B714" s="17" t="s">
        <v>233</v>
      </c>
      <c r="C714">
        <v>1</v>
      </c>
      <c r="D714" s="17" t="s">
        <v>39</v>
      </c>
      <c r="E714" s="17" t="s">
        <v>40</v>
      </c>
      <c r="F714" s="17" t="s">
        <v>14</v>
      </c>
      <c r="G714">
        <v>3</v>
      </c>
      <c r="H714">
        <v>75000</v>
      </c>
      <c r="I714">
        <v>42000</v>
      </c>
      <c r="J714">
        <v>22500</v>
      </c>
      <c r="K714" s="17">
        <f>(Fact_Ventas_Detalle[[#This Row],[Cantidad]]*Fact_Ventas_Detalle[[#This Row],[Precio Unitario]])-Fact_Ventas_Detalle[[#This Row],[Descuento Linea]]</f>
        <v>202500</v>
      </c>
    </row>
    <row r="715" spans="1:11" x14ac:dyDescent="0.25">
      <c r="A715">
        <v>60</v>
      </c>
      <c r="B715" s="17" t="s">
        <v>736</v>
      </c>
      <c r="C715">
        <v>1</v>
      </c>
      <c r="D715" s="17" t="s">
        <v>24</v>
      </c>
      <c r="E715" s="17" t="s">
        <v>25</v>
      </c>
      <c r="F715" s="17" t="s">
        <v>14</v>
      </c>
      <c r="G715">
        <v>3</v>
      </c>
      <c r="H715">
        <v>850000</v>
      </c>
      <c r="I715">
        <v>620000</v>
      </c>
      <c r="J715">
        <v>255000</v>
      </c>
      <c r="K715" s="17">
        <f>(Fact_Ventas_Detalle[[#This Row],[Cantidad]]*Fact_Ventas_Detalle[[#This Row],[Precio Unitario]])-Fact_Ventas_Detalle[[#This Row],[Descuento Linea]]</f>
        <v>2295000</v>
      </c>
    </row>
    <row r="716" spans="1:11" x14ac:dyDescent="0.25">
      <c r="A716">
        <v>61</v>
      </c>
      <c r="B716" s="17" t="s">
        <v>233</v>
      </c>
      <c r="C716">
        <v>2</v>
      </c>
      <c r="D716" s="17" t="s">
        <v>17</v>
      </c>
      <c r="E716" s="17" t="s">
        <v>18</v>
      </c>
      <c r="F716" s="17" t="s">
        <v>19</v>
      </c>
      <c r="G716">
        <v>3</v>
      </c>
      <c r="H716">
        <v>65000</v>
      </c>
      <c r="I716">
        <v>35000</v>
      </c>
      <c r="J716">
        <v>0</v>
      </c>
      <c r="K716" s="17">
        <f>(Fact_Ventas_Detalle[[#This Row],[Cantidad]]*Fact_Ventas_Detalle[[#This Row],[Precio Unitario]])-Fact_Ventas_Detalle[[#This Row],[Descuento Linea]]</f>
        <v>195000</v>
      </c>
    </row>
    <row r="717" spans="1:11" x14ac:dyDescent="0.25">
      <c r="A717">
        <v>61</v>
      </c>
      <c r="B717" s="17" t="s">
        <v>228</v>
      </c>
      <c r="C717">
        <v>2</v>
      </c>
      <c r="D717" s="17" t="s">
        <v>17</v>
      </c>
      <c r="E717" s="17" t="s">
        <v>18</v>
      </c>
      <c r="F717" s="17" t="s">
        <v>19</v>
      </c>
      <c r="G717">
        <v>3</v>
      </c>
      <c r="H717">
        <v>65000</v>
      </c>
      <c r="I717">
        <v>35000</v>
      </c>
      <c r="J717">
        <v>0</v>
      </c>
      <c r="K717" s="17">
        <f>(Fact_Ventas_Detalle[[#This Row],[Cantidad]]*Fact_Ventas_Detalle[[#This Row],[Precio Unitario]])-Fact_Ventas_Detalle[[#This Row],[Descuento Linea]]</f>
        <v>195000</v>
      </c>
    </row>
    <row r="718" spans="1:11" x14ac:dyDescent="0.25">
      <c r="A718">
        <v>61</v>
      </c>
      <c r="B718" s="17" t="s">
        <v>702</v>
      </c>
      <c r="C718">
        <v>2</v>
      </c>
      <c r="D718" s="17" t="s">
        <v>27</v>
      </c>
      <c r="E718" s="17" t="s">
        <v>28</v>
      </c>
      <c r="F718" s="17" t="s">
        <v>29</v>
      </c>
      <c r="G718">
        <v>3</v>
      </c>
      <c r="H718">
        <v>240000</v>
      </c>
      <c r="I718">
        <v>150000</v>
      </c>
      <c r="J718">
        <v>0</v>
      </c>
      <c r="K718" s="17">
        <f>(Fact_Ventas_Detalle[[#This Row],[Cantidad]]*Fact_Ventas_Detalle[[#This Row],[Precio Unitario]])-Fact_Ventas_Detalle[[#This Row],[Descuento Linea]]</f>
        <v>720000</v>
      </c>
    </row>
    <row r="719" spans="1:11" x14ac:dyDescent="0.25">
      <c r="A719">
        <v>61</v>
      </c>
      <c r="B719" s="17" t="s">
        <v>627</v>
      </c>
      <c r="C719">
        <v>2</v>
      </c>
      <c r="D719" s="17" t="s">
        <v>39</v>
      </c>
      <c r="E719" s="17" t="s">
        <v>40</v>
      </c>
      <c r="F719" s="17" t="s">
        <v>14</v>
      </c>
      <c r="G719">
        <v>3</v>
      </c>
      <c r="H719">
        <v>75000</v>
      </c>
      <c r="I719">
        <v>42000</v>
      </c>
      <c r="J719">
        <v>0</v>
      </c>
      <c r="K719" s="17">
        <f>(Fact_Ventas_Detalle[[#This Row],[Cantidad]]*Fact_Ventas_Detalle[[#This Row],[Precio Unitario]])-Fact_Ventas_Detalle[[#This Row],[Descuento Linea]]</f>
        <v>225000</v>
      </c>
    </row>
    <row r="720" spans="1:11" x14ac:dyDescent="0.25">
      <c r="A720">
        <v>61</v>
      </c>
      <c r="B720" s="17" t="s">
        <v>227</v>
      </c>
      <c r="C720">
        <v>3</v>
      </c>
      <c r="D720" s="17" t="s">
        <v>27</v>
      </c>
      <c r="E720" s="17" t="s">
        <v>28</v>
      </c>
      <c r="F720" s="17" t="s">
        <v>29</v>
      </c>
      <c r="G720">
        <v>2</v>
      </c>
      <c r="H720">
        <v>240000</v>
      </c>
      <c r="I720">
        <v>150000</v>
      </c>
      <c r="J720">
        <v>0</v>
      </c>
      <c r="K720" s="17">
        <f>(Fact_Ventas_Detalle[[#This Row],[Cantidad]]*Fact_Ventas_Detalle[[#This Row],[Precio Unitario]])-Fact_Ventas_Detalle[[#This Row],[Descuento Linea]]</f>
        <v>480000</v>
      </c>
    </row>
    <row r="721" spans="1:11" x14ac:dyDescent="0.25">
      <c r="A721">
        <v>61</v>
      </c>
      <c r="B721" s="17" t="s">
        <v>224</v>
      </c>
      <c r="C721">
        <v>3</v>
      </c>
      <c r="D721" s="17" t="s">
        <v>24</v>
      </c>
      <c r="E721" s="17" t="s">
        <v>25</v>
      </c>
      <c r="F721" s="17" t="s">
        <v>14</v>
      </c>
      <c r="G721">
        <v>3</v>
      </c>
      <c r="H721">
        <v>850000</v>
      </c>
      <c r="I721">
        <v>620000</v>
      </c>
      <c r="J721">
        <v>0</v>
      </c>
      <c r="K721" s="17">
        <f>(Fact_Ventas_Detalle[[#This Row],[Cantidad]]*Fact_Ventas_Detalle[[#This Row],[Precio Unitario]])-Fact_Ventas_Detalle[[#This Row],[Descuento Linea]]</f>
        <v>2550000</v>
      </c>
    </row>
    <row r="722" spans="1:11" x14ac:dyDescent="0.25">
      <c r="A722">
        <v>61</v>
      </c>
      <c r="B722" s="17" t="s">
        <v>232</v>
      </c>
      <c r="C722">
        <v>2</v>
      </c>
      <c r="D722" s="17" t="s">
        <v>12</v>
      </c>
      <c r="E722" s="17" t="s">
        <v>13</v>
      </c>
      <c r="F722" s="17" t="s">
        <v>14</v>
      </c>
      <c r="G722">
        <v>2</v>
      </c>
      <c r="H722">
        <v>280000</v>
      </c>
      <c r="I722">
        <v>190000</v>
      </c>
      <c r="J722">
        <v>28000</v>
      </c>
      <c r="K722" s="17">
        <f>(Fact_Ventas_Detalle[[#This Row],[Cantidad]]*Fact_Ventas_Detalle[[#This Row],[Precio Unitario]])-Fact_Ventas_Detalle[[#This Row],[Descuento Linea]]</f>
        <v>532000</v>
      </c>
    </row>
    <row r="723" spans="1:11" x14ac:dyDescent="0.25">
      <c r="A723">
        <v>61</v>
      </c>
      <c r="B723" s="17" t="s">
        <v>229</v>
      </c>
      <c r="C723">
        <v>2</v>
      </c>
      <c r="D723" s="17" t="s">
        <v>31</v>
      </c>
      <c r="E723" s="17" t="s">
        <v>32</v>
      </c>
      <c r="F723" s="17" t="s">
        <v>33</v>
      </c>
      <c r="G723">
        <v>1</v>
      </c>
      <c r="H723">
        <v>25000</v>
      </c>
      <c r="I723">
        <v>11000</v>
      </c>
      <c r="J723">
        <v>2500</v>
      </c>
      <c r="K723" s="17">
        <f>(Fact_Ventas_Detalle[[#This Row],[Cantidad]]*Fact_Ventas_Detalle[[#This Row],[Precio Unitario]])-Fact_Ventas_Detalle[[#This Row],[Descuento Linea]]</f>
        <v>22500</v>
      </c>
    </row>
    <row r="724" spans="1:11" x14ac:dyDescent="0.25">
      <c r="A724">
        <v>61</v>
      </c>
      <c r="B724" s="17" t="s">
        <v>230</v>
      </c>
      <c r="C724">
        <v>2</v>
      </c>
      <c r="D724" s="17" t="s">
        <v>39</v>
      </c>
      <c r="E724" s="17" t="s">
        <v>40</v>
      </c>
      <c r="F724" s="17" t="s">
        <v>14</v>
      </c>
      <c r="G724">
        <v>3</v>
      </c>
      <c r="H724">
        <v>75000</v>
      </c>
      <c r="I724">
        <v>42000</v>
      </c>
      <c r="J724">
        <v>11250</v>
      </c>
      <c r="K724" s="17">
        <f>(Fact_Ventas_Detalle[[#This Row],[Cantidad]]*Fact_Ventas_Detalle[[#This Row],[Precio Unitario]])-Fact_Ventas_Detalle[[#This Row],[Descuento Linea]]</f>
        <v>213750</v>
      </c>
    </row>
    <row r="725" spans="1:11" x14ac:dyDescent="0.25">
      <c r="A725">
        <v>61</v>
      </c>
      <c r="B725" s="17" t="s">
        <v>231</v>
      </c>
      <c r="C725">
        <v>2</v>
      </c>
      <c r="D725" s="17" t="s">
        <v>17</v>
      </c>
      <c r="E725" s="17" t="s">
        <v>18</v>
      </c>
      <c r="F725" s="17" t="s">
        <v>19</v>
      </c>
      <c r="G725">
        <v>3</v>
      </c>
      <c r="H725">
        <v>65000</v>
      </c>
      <c r="I725">
        <v>35000</v>
      </c>
      <c r="J725">
        <v>19500</v>
      </c>
      <c r="K725" s="17">
        <f>(Fact_Ventas_Detalle[[#This Row],[Cantidad]]*Fact_Ventas_Detalle[[#This Row],[Precio Unitario]])-Fact_Ventas_Detalle[[#This Row],[Descuento Linea]]</f>
        <v>175500</v>
      </c>
    </row>
    <row r="726" spans="1:11" x14ac:dyDescent="0.25">
      <c r="A726">
        <v>61</v>
      </c>
      <c r="B726" s="17" t="s">
        <v>736</v>
      </c>
      <c r="C726">
        <v>2</v>
      </c>
      <c r="D726" s="17" t="s">
        <v>12</v>
      </c>
      <c r="E726" s="17" t="s">
        <v>13</v>
      </c>
      <c r="F726" s="17" t="s">
        <v>14</v>
      </c>
      <c r="G726">
        <v>3</v>
      </c>
      <c r="H726">
        <v>280000</v>
      </c>
      <c r="I726">
        <v>190000</v>
      </c>
      <c r="J726">
        <v>42000</v>
      </c>
      <c r="K726" s="17">
        <f>(Fact_Ventas_Detalle[[#This Row],[Cantidad]]*Fact_Ventas_Detalle[[#This Row],[Precio Unitario]])-Fact_Ventas_Detalle[[#This Row],[Descuento Linea]]</f>
        <v>798000</v>
      </c>
    </row>
    <row r="727" spans="1:11" x14ac:dyDescent="0.25">
      <c r="A727">
        <v>62</v>
      </c>
      <c r="B727" s="17" t="s">
        <v>234</v>
      </c>
      <c r="C727">
        <v>1</v>
      </c>
      <c r="D727" s="17" t="s">
        <v>27</v>
      </c>
      <c r="E727" s="17" t="s">
        <v>28</v>
      </c>
      <c r="F727" s="17" t="s">
        <v>29</v>
      </c>
      <c r="G727">
        <v>3</v>
      </c>
      <c r="H727">
        <v>240000</v>
      </c>
      <c r="I727">
        <v>150000</v>
      </c>
      <c r="J727">
        <v>0</v>
      </c>
      <c r="K727" s="17">
        <f>(Fact_Ventas_Detalle[[#This Row],[Cantidad]]*Fact_Ventas_Detalle[[#This Row],[Precio Unitario]])-Fact_Ventas_Detalle[[#This Row],[Descuento Linea]]</f>
        <v>720000</v>
      </c>
    </row>
    <row r="728" spans="1:11" x14ac:dyDescent="0.25">
      <c r="A728">
        <v>62</v>
      </c>
      <c r="B728" s="17" t="s">
        <v>236</v>
      </c>
      <c r="C728">
        <v>1</v>
      </c>
      <c r="D728" s="17" t="s">
        <v>27</v>
      </c>
      <c r="E728" s="17" t="s">
        <v>28</v>
      </c>
      <c r="F728" s="17" t="s">
        <v>29</v>
      </c>
      <c r="G728">
        <v>3</v>
      </c>
      <c r="H728">
        <v>240000</v>
      </c>
      <c r="I728">
        <v>150000</v>
      </c>
      <c r="J728">
        <v>0</v>
      </c>
      <c r="K728" s="17">
        <f>(Fact_Ventas_Detalle[[#This Row],[Cantidad]]*Fact_Ventas_Detalle[[#This Row],[Precio Unitario]])-Fact_Ventas_Detalle[[#This Row],[Descuento Linea]]</f>
        <v>720000</v>
      </c>
    </row>
    <row r="729" spans="1:11" x14ac:dyDescent="0.25">
      <c r="A729">
        <v>62</v>
      </c>
      <c r="B729" s="17" t="s">
        <v>235</v>
      </c>
      <c r="C729">
        <v>1</v>
      </c>
      <c r="D729" s="17" t="s">
        <v>27</v>
      </c>
      <c r="E729" s="17" t="s">
        <v>28</v>
      </c>
      <c r="F729" s="17" t="s">
        <v>29</v>
      </c>
      <c r="G729">
        <v>2</v>
      </c>
      <c r="H729">
        <v>240000</v>
      </c>
      <c r="I729">
        <v>150000</v>
      </c>
      <c r="J729">
        <v>0</v>
      </c>
      <c r="K729" s="17">
        <f>(Fact_Ventas_Detalle[[#This Row],[Cantidad]]*Fact_Ventas_Detalle[[#This Row],[Precio Unitario]])-Fact_Ventas_Detalle[[#This Row],[Descuento Linea]]</f>
        <v>480000</v>
      </c>
    </row>
    <row r="730" spans="1:11" x14ac:dyDescent="0.25">
      <c r="A730">
        <v>62</v>
      </c>
      <c r="B730" s="17" t="s">
        <v>233</v>
      </c>
      <c r="C730">
        <v>3</v>
      </c>
      <c r="D730" s="17" t="s">
        <v>12</v>
      </c>
      <c r="E730" s="17" t="s">
        <v>13</v>
      </c>
      <c r="F730" s="17" t="s">
        <v>14</v>
      </c>
      <c r="G730">
        <v>2</v>
      </c>
      <c r="H730">
        <v>280000</v>
      </c>
      <c r="I730">
        <v>190000</v>
      </c>
      <c r="J730">
        <v>0</v>
      </c>
      <c r="K730" s="17">
        <f>(Fact_Ventas_Detalle[[#This Row],[Cantidad]]*Fact_Ventas_Detalle[[#This Row],[Precio Unitario]])-Fact_Ventas_Detalle[[#This Row],[Descuento Linea]]</f>
        <v>560000</v>
      </c>
    </row>
    <row r="731" spans="1:11" x14ac:dyDescent="0.25">
      <c r="A731">
        <v>62</v>
      </c>
      <c r="B731" s="17" t="s">
        <v>228</v>
      </c>
      <c r="C731">
        <v>3</v>
      </c>
      <c r="D731" s="17" t="s">
        <v>42</v>
      </c>
      <c r="E731" s="17" t="s">
        <v>43</v>
      </c>
      <c r="F731" s="17" t="s">
        <v>29</v>
      </c>
      <c r="G731">
        <v>2</v>
      </c>
      <c r="H731">
        <v>185000</v>
      </c>
      <c r="I731">
        <v>115000</v>
      </c>
      <c r="J731">
        <v>0</v>
      </c>
      <c r="K731" s="17">
        <f>(Fact_Ventas_Detalle[[#This Row],[Cantidad]]*Fact_Ventas_Detalle[[#This Row],[Precio Unitario]])-Fact_Ventas_Detalle[[#This Row],[Descuento Linea]]</f>
        <v>370000</v>
      </c>
    </row>
    <row r="732" spans="1:11" x14ac:dyDescent="0.25">
      <c r="A732">
        <v>62</v>
      </c>
      <c r="B732" s="17" t="s">
        <v>627</v>
      </c>
      <c r="C732">
        <v>3</v>
      </c>
      <c r="D732" s="17" t="s">
        <v>42</v>
      </c>
      <c r="E732" s="17" t="s">
        <v>43</v>
      </c>
      <c r="F732" s="17" t="s">
        <v>29</v>
      </c>
      <c r="G732">
        <v>3</v>
      </c>
      <c r="H732">
        <v>185000</v>
      </c>
      <c r="I732">
        <v>115000</v>
      </c>
      <c r="J732">
        <v>0</v>
      </c>
      <c r="K732" s="17">
        <f>(Fact_Ventas_Detalle[[#This Row],[Cantidad]]*Fact_Ventas_Detalle[[#This Row],[Precio Unitario]])-Fact_Ventas_Detalle[[#This Row],[Descuento Linea]]</f>
        <v>555000</v>
      </c>
    </row>
    <row r="733" spans="1:11" x14ac:dyDescent="0.25">
      <c r="A733">
        <v>62</v>
      </c>
      <c r="B733" s="17" t="s">
        <v>736</v>
      </c>
      <c r="C733">
        <v>3</v>
      </c>
      <c r="D733" s="17" t="s">
        <v>37</v>
      </c>
      <c r="E733" s="17" t="s">
        <v>38</v>
      </c>
      <c r="F733" s="17" t="s">
        <v>33</v>
      </c>
      <c r="G733">
        <v>2</v>
      </c>
      <c r="H733">
        <v>45000</v>
      </c>
      <c r="I733">
        <v>22000</v>
      </c>
      <c r="J733">
        <v>0</v>
      </c>
      <c r="K733" s="17">
        <f>(Fact_Ventas_Detalle[[#This Row],[Cantidad]]*Fact_Ventas_Detalle[[#This Row],[Precio Unitario]])-Fact_Ventas_Detalle[[#This Row],[Descuento Linea]]</f>
        <v>90000</v>
      </c>
    </row>
    <row r="734" spans="1:11" x14ac:dyDescent="0.25">
      <c r="A734">
        <v>62</v>
      </c>
      <c r="B734" s="17" t="s">
        <v>230</v>
      </c>
      <c r="C734">
        <v>3</v>
      </c>
      <c r="D734" s="17" t="s">
        <v>24</v>
      </c>
      <c r="E734" s="17" t="s">
        <v>25</v>
      </c>
      <c r="F734" s="17" t="s">
        <v>14</v>
      </c>
      <c r="G734">
        <v>2</v>
      </c>
      <c r="H734">
        <v>850000</v>
      </c>
      <c r="I734">
        <v>620000</v>
      </c>
      <c r="J734">
        <v>85000</v>
      </c>
      <c r="K734" s="17">
        <f>(Fact_Ventas_Detalle[[#This Row],[Cantidad]]*Fact_Ventas_Detalle[[#This Row],[Precio Unitario]])-Fact_Ventas_Detalle[[#This Row],[Descuento Linea]]</f>
        <v>1615000</v>
      </c>
    </row>
    <row r="735" spans="1:11" x14ac:dyDescent="0.25">
      <c r="A735">
        <v>62</v>
      </c>
      <c r="B735" s="17" t="s">
        <v>237</v>
      </c>
      <c r="C735">
        <v>1</v>
      </c>
      <c r="D735" s="17" t="s">
        <v>17</v>
      </c>
      <c r="E735" s="17" t="s">
        <v>18</v>
      </c>
      <c r="F735" s="17" t="s">
        <v>19</v>
      </c>
      <c r="G735">
        <v>2</v>
      </c>
      <c r="H735">
        <v>65000</v>
      </c>
      <c r="I735">
        <v>35000</v>
      </c>
      <c r="J735">
        <v>6500</v>
      </c>
      <c r="K735" s="17">
        <f>(Fact_Ventas_Detalle[[#This Row],[Cantidad]]*Fact_Ventas_Detalle[[#This Row],[Precio Unitario]])-Fact_Ventas_Detalle[[#This Row],[Descuento Linea]]</f>
        <v>123500</v>
      </c>
    </row>
    <row r="736" spans="1:11" x14ac:dyDescent="0.25">
      <c r="A736">
        <v>62</v>
      </c>
      <c r="B736" s="17" t="s">
        <v>809</v>
      </c>
      <c r="C736">
        <v>1</v>
      </c>
      <c r="D736" s="17" t="s">
        <v>42</v>
      </c>
      <c r="E736" s="17" t="s">
        <v>43</v>
      </c>
      <c r="F736" s="17" t="s">
        <v>29</v>
      </c>
      <c r="G736">
        <v>3</v>
      </c>
      <c r="H736">
        <v>185000</v>
      </c>
      <c r="I736">
        <v>115000</v>
      </c>
      <c r="J736">
        <v>27750</v>
      </c>
      <c r="K736" s="17">
        <f>(Fact_Ventas_Detalle[[#This Row],[Cantidad]]*Fact_Ventas_Detalle[[#This Row],[Precio Unitario]])-Fact_Ventas_Detalle[[#This Row],[Descuento Linea]]</f>
        <v>527250</v>
      </c>
    </row>
    <row r="737" spans="1:11" x14ac:dyDescent="0.25">
      <c r="A737">
        <v>63</v>
      </c>
      <c r="B737" s="17" t="s">
        <v>238</v>
      </c>
      <c r="C737">
        <v>1</v>
      </c>
      <c r="D737" s="17" t="s">
        <v>12</v>
      </c>
      <c r="E737" s="17" t="s">
        <v>13</v>
      </c>
      <c r="F737" s="17" t="s">
        <v>14</v>
      </c>
      <c r="G737">
        <v>1</v>
      </c>
      <c r="H737">
        <v>280000</v>
      </c>
      <c r="I737">
        <v>190000</v>
      </c>
      <c r="J737">
        <v>0</v>
      </c>
      <c r="K737" s="17">
        <f>(Fact_Ventas_Detalle[[#This Row],[Cantidad]]*Fact_Ventas_Detalle[[#This Row],[Precio Unitario]])-Fact_Ventas_Detalle[[#This Row],[Descuento Linea]]</f>
        <v>280000</v>
      </c>
    </row>
    <row r="738" spans="1:11" x14ac:dyDescent="0.25">
      <c r="A738">
        <v>63</v>
      </c>
      <c r="B738" s="17" t="s">
        <v>230</v>
      </c>
      <c r="C738">
        <v>4</v>
      </c>
      <c r="D738" s="17" t="s">
        <v>12</v>
      </c>
      <c r="E738" s="17" t="s">
        <v>13</v>
      </c>
      <c r="F738" s="17" t="s">
        <v>14</v>
      </c>
      <c r="G738">
        <v>3</v>
      </c>
      <c r="H738">
        <v>280000</v>
      </c>
      <c r="I738">
        <v>190000</v>
      </c>
      <c r="J738">
        <v>0</v>
      </c>
      <c r="K738" s="17">
        <f>(Fact_Ventas_Detalle[[#This Row],[Cantidad]]*Fact_Ventas_Detalle[[#This Row],[Precio Unitario]])-Fact_Ventas_Detalle[[#This Row],[Descuento Linea]]</f>
        <v>840000</v>
      </c>
    </row>
    <row r="739" spans="1:11" x14ac:dyDescent="0.25">
      <c r="A739">
        <v>63</v>
      </c>
      <c r="B739" s="17" t="s">
        <v>235</v>
      </c>
      <c r="C739">
        <v>2</v>
      </c>
      <c r="D739" s="17" t="s">
        <v>12</v>
      </c>
      <c r="E739" s="17" t="s">
        <v>13</v>
      </c>
      <c r="F739" s="17" t="s">
        <v>14</v>
      </c>
      <c r="G739">
        <v>2</v>
      </c>
      <c r="H739">
        <v>280000</v>
      </c>
      <c r="I739">
        <v>190000</v>
      </c>
      <c r="J739">
        <v>56000</v>
      </c>
      <c r="K739" s="17">
        <f>(Fact_Ventas_Detalle[[#This Row],[Cantidad]]*Fact_Ventas_Detalle[[#This Row],[Precio Unitario]])-Fact_Ventas_Detalle[[#This Row],[Descuento Linea]]</f>
        <v>504000</v>
      </c>
    </row>
    <row r="740" spans="1:11" x14ac:dyDescent="0.25">
      <c r="A740">
        <v>63</v>
      </c>
      <c r="B740" s="17" t="s">
        <v>236</v>
      </c>
      <c r="C740">
        <v>2</v>
      </c>
      <c r="D740" s="17" t="s">
        <v>24</v>
      </c>
      <c r="E740" s="17" t="s">
        <v>25</v>
      </c>
      <c r="F740" s="17" t="s">
        <v>14</v>
      </c>
      <c r="G740">
        <v>1</v>
      </c>
      <c r="H740">
        <v>850000</v>
      </c>
      <c r="I740">
        <v>620000</v>
      </c>
      <c r="J740">
        <v>42500</v>
      </c>
      <c r="K740" s="17">
        <f>(Fact_Ventas_Detalle[[#This Row],[Cantidad]]*Fact_Ventas_Detalle[[#This Row],[Precio Unitario]])-Fact_Ventas_Detalle[[#This Row],[Descuento Linea]]</f>
        <v>807500</v>
      </c>
    </row>
    <row r="741" spans="1:11" x14ac:dyDescent="0.25">
      <c r="A741">
        <v>63</v>
      </c>
      <c r="B741" s="17" t="s">
        <v>237</v>
      </c>
      <c r="C741">
        <v>2</v>
      </c>
      <c r="D741" s="17" t="s">
        <v>42</v>
      </c>
      <c r="E741" s="17" t="s">
        <v>43</v>
      </c>
      <c r="F741" s="17" t="s">
        <v>29</v>
      </c>
      <c r="G741">
        <v>2</v>
      </c>
      <c r="H741">
        <v>185000</v>
      </c>
      <c r="I741">
        <v>115000</v>
      </c>
      <c r="J741">
        <v>37000</v>
      </c>
      <c r="K741" s="17">
        <f>(Fact_Ventas_Detalle[[#This Row],[Cantidad]]*Fact_Ventas_Detalle[[#This Row],[Precio Unitario]])-Fact_Ventas_Detalle[[#This Row],[Descuento Linea]]</f>
        <v>333000</v>
      </c>
    </row>
    <row r="742" spans="1:11" x14ac:dyDescent="0.25">
      <c r="A742">
        <v>63</v>
      </c>
      <c r="B742" s="17" t="s">
        <v>809</v>
      </c>
      <c r="C742">
        <v>2</v>
      </c>
      <c r="D742" s="17" t="s">
        <v>27</v>
      </c>
      <c r="E742" s="17" t="s">
        <v>28</v>
      </c>
      <c r="F742" s="17" t="s">
        <v>29</v>
      </c>
      <c r="G742">
        <v>2</v>
      </c>
      <c r="H742">
        <v>240000</v>
      </c>
      <c r="I742">
        <v>150000</v>
      </c>
      <c r="J742">
        <v>48000</v>
      </c>
      <c r="K742" s="17">
        <f>(Fact_Ventas_Detalle[[#This Row],[Cantidad]]*Fact_Ventas_Detalle[[#This Row],[Precio Unitario]])-Fact_Ventas_Detalle[[#This Row],[Descuento Linea]]</f>
        <v>432000</v>
      </c>
    </row>
    <row r="743" spans="1:11" x14ac:dyDescent="0.25">
      <c r="A743">
        <v>63</v>
      </c>
      <c r="B743" s="17" t="s">
        <v>632</v>
      </c>
      <c r="C743">
        <v>1</v>
      </c>
      <c r="D743" s="17" t="s">
        <v>37</v>
      </c>
      <c r="E743" s="17" t="s">
        <v>38</v>
      </c>
      <c r="F743" s="17" t="s">
        <v>33</v>
      </c>
      <c r="G743">
        <v>2</v>
      </c>
      <c r="H743">
        <v>45000</v>
      </c>
      <c r="I743">
        <v>22000</v>
      </c>
      <c r="J743">
        <v>9000</v>
      </c>
      <c r="K743" s="17">
        <f>(Fact_Ventas_Detalle[[#This Row],[Cantidad]]*Fact_Ventas_Detalle[[#This Row],[Precio Unitario]])-Fact_Ventas_Detalle[[#This Row],[Descuento Linea]]</f>
        <v>81000</v>
      </c>
    </row>
    <row r="744" spans="1:11" x14ac:dyDescent="0.25">
      <c r="A744">
        <v>63</v>
      </c>
      <c r="B744" s="17" t="s">
        <v>240</v>
      </c>
      <c r="C744">
        <v>1</v>
      </c>
      <c r="D744" s="17" t="s">
        <v>39</v>
      </c>
      <c r="E744" s="17" t="s">
        <v>40</v>
      </c>
      <c r="F744" s="17" t="s">
        <v>14</v>
      </c>
      <c r="G744">
        <v>3</v>
      </c>
      <c r="H744">
        <v>75000</v>
      </c>
      <c r="I744">
        <v>42000</v>
      </c>
      <c r="J744">
        <v>11250</v>
      </c>
      <c r="K744" s="17">
        <f>(Fact_Ventas_Detalle[[#This Row],[Cantidad]]*Fact_Ventas_Detalle[[#This Row],[Precio Unitario]])-Fact_Ventas_Detalle[[#This Row],[Descuento Linea]]</f>
        <v>213750</v>
      </c>
    </row>
    <row r="745" spans="1:11" x14ac:dyDescent="0.25">
      <c r="A745">
        <v>63</v>
      </c>
      <c r="B745" s="17" t="s">
        <v>239</v>
      </c>
      <c r="C745">
        <v>1</v>
      </c>
      <c r="D745" s="17" t="s">
        <v>17</v>
      </c>
      <c r="E745" s="17" t="s">
        <v>18</v>
      </c>
      <c r="F745" s="17" t="s">
        <v>19</v>
      </c>
      <c r="G745">
        <v>1</v>
      </c>
      <c r="H745">
        <v>65000</v>
      </c>
      <c r="I745">
        <v>35000</v>
      </c>
      <c r="J745">
        <v>6500</v>
      </c>
      <c r="K745" s="17">
        <f>(Fact_Ventas_Detalle[[#This Row],[Cantidad]]*Fact_Ventas_Detalle[[#This Row],[Precio Unitario]])-Fact_Ventas_Detalle[[#This Row],[Descuento Linea]]</f>
        <v>58500</v>
      </c>
    </row>
    <row r="746" spans="1:11" x14ac:dyDescent="0.25">
      <c r="A746">
        <v>63</v>
      </c>
      <c r="B746" s="17" t="s">
        <v>823</v>
      </c>
      <c r="C746">
        <v>1</v>
      </c>
      <c r="D746" s="17" t="s">
        <v>12</v>
      </c>
      <c r="E746" s="17" t="s">
        <v>13</v>
      </c>
      <c r="F746" s="17" t="s">
        <v>14</v>
      </c>
      <c r="G746">
        <v>1</v>
      </c>
      <c r="H746">
        <v>280000</v>
      </c>
      <c r="I746">
        <v>190000</v>
      </c>
      <c r="J746">
        <v>14000</v>
      </c>
      <c r="K746" s="17">
        <f>(Fact_Ventas_Detalle[[#This Row],[Cantidad]]*Fact_Ventas_Detalle[[#This Row],[Precio Unitario]])-Fact_Ventas_Detalle[[#This Row],[Descuento Linea]]</f>
        <v>266000</v>
      </c>
    </row>
    <row r="747" spans="1:11" x14ac:dyDescent="0.25">
      <c r="A747">
        <v>64</v>
      </c>
      <c r="B747" s="17" t="s">
        <v>632</v>
      </c>
      <c r="C747">
        <v>2</v>
      </c>
      <c r="D747" s="17" t="s">
        <v>27</v>
      </c>
      <c r="E747" s="17" t="s">
        <v>28</v>
      </c>
      <c r="F747" s="17" t="s">
        <v>29</v>
      </c>
      <c r="G747">
        <v>3</v>
      </c>
      <c r="H747">
        <v>240000</v>
      </c>
      <c r="I747">
        <v>150000</v>
      </c>
      <c r="J747">
        <v>0</v>
      </c>
      <c r="K747" s="17">
        <f>(Fact_Ventas_Detalle[[#This Row],[Cantidad]]*Fact_Ventas_Detalle[[#This Row],[Precio Unitario]])-Fact_Ventas_Detalle[[#This Row],[Descuento Linea]]</f>
        <v>720000</v>
      </c>
    </row>
    <row r="748" spans="1:11" x14ac:dyDescent="0.25">
      <c r="A748">
        <v>64</v>
      </c>
      <c r="B748" s="17" t="s">
        <v>236</v>
      </c>
      <c r="C748">
        <v>3</v>
      </c>
      <c r="D748" s="17" t="s">
        <v>27</v>
      </c>
      <c r="E748" s="17" t="s">
        <v>28</v>
      </c>
      <c r="F748" s="17" t="s">
        <v>29</v>
      </c>
      <c r="G748">
        <v>1</v>
      </c>
      <c r="H748">
        <v>240000</v>
      </c>
      <c r="I748">
        <v>150000</v>
      </c>
      <c r="J748">
        <v>0</v>
      </c>
      <c r="K748" s="17">
        <f>(Fact_Ventas_Detalle[[#This Row],[Cantidad]]*Fact_Ventas_Detalle[[#This Row],[Precio Unitario]])-Fact_Ventas_Detalle[[#This Row],[Descuento Linea]]</f>
        <v>240000</v>
      </c>
    </row>
    <row r="749" spans="1:11" x14ac:dyDescent="0.25">
      <c r="A749">
        <v>64</v>
      </c>
      <c r="B749" s="17" t="s">
        <v>235</v>
      </c>
      <c r="C749">
        <v>3</v>
      </c>
      <c r="D749" s="17" t="s">
        <v>12</v>
      </c>
      <c r="E749" s="17" t="s">
        <v>13</v>
      </c>
      <c r="F749" s="17" t="s">
        <v>14</v>
      </c>
      <c r="G749">
        <v>2</v>
      </c>
      <c r="H749">
        <v>280000</v>
      </c>
      <c r="I749">
        <v>190000</v>
      </c>
      <c r="J749">
        <v>56000</v>
      </c>
      <c r="K749" s="17">
        <f>(Fact_Ventas_Detalle[[#This Row],[Cantidad]]*Fact_Ventas_Detalle[[#This Row],[Precio Unitario]])-Fact_Ventas_Detalle[[#This Row],[Descuento Linea]]</f>
        <v>504000</v>
      </c>
    </row>
    <row r="750" spans="1:11" x14ac:dyDescent="0.25">
      <c r="A750">
        <v>64</v>
      </c>
      <c r="B750" s="17" t="s">
        <v>237</v>
      </c>
      <c r="C750">
        <v>3</v>
      </c>
      <c r="D750" s="17" t="s">
        <v>42</v>
      </c>
      <c r="E750" s="17" t="s">
        <v>43</v>
      </c>
      <c r="F750" s="17" t="s">
        <v>29</v>
      </c>
      <c r="G750">
        <v>2</v>
      </c>
      <c r="H750">
        <v>185000</v>
      </c>
      <c r="I750">
        <v>115000</v>
      </c>
      <c r="J750">
        <v>37000</v>
      </c>
      <c r="K750" s="17">
        <f>(Fact_Ventas_Detalle[[#This Row],[Cantidad]]*Fact_Ventas_Detalle[[#This Row],[Precio Unitario]])-Fact_Ventas_Detalle[[#This Row],[Descuento Linea]]</f>
        <v>333000</v>
      </c>
    </row>
    <row r="751" spans="1:11" x14ac:dyDescent="0.25">
      <c r="A751">
        <v>64</v>
      </c>
      <c r="B751" s="17" t="s">
        <v>809</v>
      </c>
      <c r="C751">
        <v>3</v>
      </c>
      <c r="D751" s="17" t="s">
        <v>31</v>
      </c>
      <c r="E751" s="17" t="s">
        <v>32</v>
      </c>
      <c r="F751" s="17" t="s">
        <v>33</v>
      </c>
      <c r="G751">
        <v>2</v>
      </c>
      <c r="H751">
        <v>25000</v>
      </c>
      <c r="I751">
        <v>11000</v>
      </c>
      <c r="J751">
        <v>5000</v>
      </c>
      <c r="K751" s="17">
        <f>(Fact_Ventas_Detalle[[#This Row],[Cantidad]]*Fact_Ventas_Detalle[[#This Row],[Precio Unitario]])-Fact_Ventas_Detalle[[#This Row],[Descuento Linea]]</f>
        <v>45000</v>
      </c>
    </row>
    <row r="752" spans="1:11" x14ac:dyDescent="0.25">
      <c r="A752">
        <v>64</v>
      </c>
      <c r="B752" s="17" t="s">
        <v>239</v>
      </c>
      <c r="C752">
        <v>2</v>
      </c>
      <c r="D752" s="17" t="s">
        <v>39</v>
      </c>
      <c r="E752" s="17" t="s">
        <v>40</v>
      </c>
      <c r="F752" s="17" t="s">
        <v>14</v>
      </c>
      <c r="G752">
        <v>3</v>
      </c>
      <c r="H752">
        <v>75000</v>
      </c>
      <c r="I752">
        <v>42000</v>
      </c>
      <c r="J752">
        <v>11250</v>
      </c>
      <c r="K752" s="17">
        <f>(Fact_Ventas_Detalle[[#This Row],[Cantidad]]*Fact_Ventas_Detalle[[#This Row],[Precio Unitario]])-Fact_Ventas_Detalle[[#This Row],[Descuento Linea]]</f>
        <v>213750</v>
      </c>
    </row>
    <row r="753" spans="1:11" x14ac:dyDescent="0.25">
      <c r="A753">
        <v>64</v>
      </c>
      <c r="B753" s="17" t="s">
        <v>240</v>
      </c>
      <c r="C753">
        <v>2</v>
      </c>
      <c r="D753" s="17" t="s">
        <v>24</v>
      </c>
      <c r="E753" s="17" t="s">
        <v>25</v>
      </c>
      <c r="F753" s="17" t="s">
        <v>14</v>
      </c>
      <c r="G753">
        <v>2</v>
      </c>
      <c r="H753">
        <v>850000</v>
      </c>
      <c r="I753">
        <v>620000</v>
      </c>
      <c r="J753">
        <v>85000</v>
      </c>
      <c r="K753" s="17">
        <f>(Fact_Ventas_Detalle[[#This Row],[Cantidad]]*Fact_Ventas_Detalle[[#This Row],[Precio Unitario]])-Fact_Ventas_Detalle[[#This Row],[Descuento Linea]]</f>
        <v>1615000</v>
      </c>
    </row>
    <row r="754" spans="1:11" x14ac:dyDescent="0.25">
      <c r="A754">
        <v>64</v>
      </c>
      <c r="B754" s="17" t="s">
        <v>823</v>
      </c>
      <c r="C754">
        <v>2</v>
      </c>
      <c r="D754" s="17" t="s">
        <v>24</v>
      </c>
      <c r="E754" s="17" t="s">
        <v>25</v>
      </c>
      <c r="F754" s="17" t="s">
        <v>14</v>
      </c>
      <c r="G754">
        <v>3</v>
      </c>
      <c r="H754">
        <v>850000</v>
      </c>
      <c r="I754">
        <v>620000</v>
      </c>
      <c r="J754">
        <v>127500</v>
      </c>
      <c r="K754" s="17">
        <f>(Fact_Ventas_Detalle[[#This Row],[Cantidad]]*Fact_Ventas_Detalle[[#This Row],[Precio Unitario]])-Fact_Ventas_Detalle[[#This Row],[Descuento Linea]]</f>
        <v>2422500</v>
      </c>
    </row>
    <row r="755" spans="1:11" x14ac:dyDescent="0.25">
      <c r="A755">
        <v>64</v>
      </c>
      <c r="B755" s="17" t="s">
        <v>241</v>
      </c>
      <c r="C755">
        <v>1</v>
      </c>
      <c r="D755" s="17" t="s">
        <v>37</v>
      </c>
      <c r="E755" s="17" t="s">
        <v>38</v>
      </c>
      <c r="F755" s="17" t="s">
        <v>33</v>
      </c>
      <c r="G755">
        <v>1</v>
      </c>
      <c r="H755">
        <v>45000</v>
      </c>
      <c r="I755">
        <v>22000</v>
      </c>
      <c r="J755">
        <v>4500</v>
      </c>
      <c r="K755" s="17">
        <f>(Fact_Ventas_Detalle[[#This Row],[Cantidad]]*Fact_Ventas_Detalle[[#This Row],[Precio Unitario]])-Fact_Ventas_Detalle[[#This Row],[Descuento Linea]]</f>
        <v>40500</v>
      </c>
    </row>
    <row r="756" spans="1:11" x14ac:dyDescent="0.25">
      <c r="A756">
        <v>64</v>
      </c>
      <c r="B756" s="17" t="s">
        <v>242</v>
      </c>
      <c r="C756">
        <v>1</v>
      </c>
      <c r="D756" s="17" t="s">
        <v>31</v>
      </c>
      <c r="E756" s="17" t="s">
        <v>32</v>
      </c>
      <c r="F756" s="17" t="s">
        <v>33</v>
      </c>
      <c r="G756">
        <v>1</v>
      </c>
      <c r="H756">
        <v>25000</v>
      </c>
      <c r="I756">
        <v>11000</v>
      </c>
      <c r="J756">
        <v>2500</v>
      </c>
      <c r="K756" s="17">
        <f>(Fact_Ventas_Detalle[[#This Row],[Cantidad]]*Fact_Ventas_Detalle[[#This Row],[Precio Unitario]])-Fact_Ventas_Detalle[[#This Row],[Descuento Linea]]</f>
        <v>22500</v>
      </c>
    </row>
    <row r="757" spans="1:11" x14ac:dyDescent="0.25">
      <c r="A757">
        <v>65</v>
      </c>
      <c r="B757" s="17" t="s">
        <v>243</v>
      </c>
      <c r="C757">
        <v>1</v>
      </c>
      <c r="D757" s="17" t="s">
        <v>31</v>
      </c>
      <c r="E757" s="17" t="s">
        <v>32</v>
      </c>
      <c r="F757" s="17" t="s">
        <v>33</v>
      </c>
      <c r="G757">
        <v>2</v>
      </c>
      <c r="H757">
        <v>25000</v>
      </c>
      <c r="I757">
        <v>11000</v>
      </c>
      <c r="J757">
        <v>0</v>
      </c>
      <c r="K757" s="17">
        <f>(Fact_Ventas_Detalle[[#This Row],[Cantidad]]*Fact_Ventas_Detalle[[#This Row],[Precio Unitario]])-Fact_Ventas_Detalle[[#This Row],[Descuento Linea]]</f>
        <v>50000</v>
      </c>
    </row>
    <row r="758" spans="1:11" x14ac:dyDescent="0.25">
      <c r="A758">
        <v>65</v>
      </c>
      <c r="B758" s="17" t="s">
        <v>239</v>
      </c>
      <c r="C758">
        <v>3</v>
      </c>
      <c r="D758" s="17" t="s">
        <v>12</v>
      </c>
      <c r="E758" s="17" t="s">
        <v>13</v>
      </c>
      <c r="F758" s="17" t="s">
        <v>14</v>
      </c>
      <c r="G758">
        <v>1</v>
      </c>
      <c r="H758">
        <v>280000</v>
      </c>
      <c r="I758">
        <v>190000</v>
      </c>
      <c r="J758">
        <v>0</v>
      </c>
      <c r="K758" s="17">
        <f>(Fact_Ventas_Detalle[[#This Row],[Cantidad]]*Fact_Ventas_Detalle[[#This Row],[Precio Unitario]])-Fact_Ventas_Detalle[[#This Row],[Descuento Linea]]</f>
        <v>280000</v>
      </c>
    </row>
    <row r="759" spans="1:11" x14ac:dyDescent="0.25">
      <c r="A759">
        <v>65</v>
      </c>
      <c r="B759" s="17" t="s">
        <v>240</v>
      </c>
      <c r="C759">
        <v>3</v>
      </c>
      <c r="D759" s="17" t="s">
        <v>37</v>
      </c>
      <c r="E759" s="17" t="s">
        <v>38</v>
      </c>
      <c r="F759" s="17" t="s">
        <v>33</v>
      </c>
      <c r="G759">
        <v>1</v>
      </c>
      <c r="H759">
        <v>45000</v>
      </c>
      <c r="I759">
        <v>22000</v>
      </c>
      <c r="J759">
        <v>0</v>
      </c>
      <c r="K759" s="17">
        <f>(Fact_Ventas_Detalle[[#This Row],[Cantidad]]*Fact_Ventas_Detalle[[#This Row],[Precio Unitario]])-Fact_Ventas_Detalle[[#This Row],[Descuento Linea]]</f>
        <v>45000</v>
      </c>
    </row>
    <row r="760" spans="1:11" x14ac:dyDescent="0.25">
      <c r="A760">
        <v>65</v>
      </c>
      <c r="B760" s="17" t="s">
        <v>235</v>
      </c>
      <c r="C760">
        <v>4</v>
      </c>
      <c r="D760" s="17" t="s">
        <v>17</v>
      </c>
      <c r="E760" s="17" t="s">
        <v>18</v>
      </c>
      <c r="F760" s="17" t="s">
        <v>19</v>
      </c>
      <c r="G760">
        <v>1</v>
      </c>
      <c r="H760">
        <v>65000</v>
      </c>
      <c r="I760">
        <v>35000</v>
      </c>
      <c r="J760">
        <v>0</v>
      </c>
      <c r="K760" s="17">
        <f>(Fact_Ventas_Detalle[[#This Row],[Cantidad]]*Fact_Ventas_Detalle[[#This Row],[Precio Unitario]])-Fact_Ventas_Detalle[[#This Row],[Descuento Linea]]</f>
        <v>65000</v>
      </c>
    </row>
    <row r="761" spans="1:11" x14ac:dyDescent="0.25">
      <c r="A761">
        <v>65</v>
      </c>
      <c r="B761" s="17" t="s">
        <v>236</v>
      </c>
      <c r="C761">
        <v>4</v>
      </c>
      <c r="D761" s="17" t="s">
        <v>42</v>
      </c>
      <c r="E761" s="17" t="s">
        <v>43</v>
      </c>
      <c r="F761" s="17" t="s">
        <v>29</v>
      </c>
      <c r="G761">
        <v>2</v>
      </c>
      <c r="H761">
        <v>185000</v>
      </c>
      <c r="I761">
        <v>115000</v>
      </c>
      <c r="J761">
        <v>0</v>
      </c>
      <c r="K761" s="17">
        <f>(Fact_Ventas_Detalle[[#This Row],[Cantidad]]*Fact_Ventas_Detalle[[#This Row],[Precio Unitario]])-Fact_Ventas_Detalle[[#This Row],[Descuento Linea]]</f>
        <v>370000</v>
      </c>
    </row>
    <row r="762" spans="1:11" x14ac:dyDescent="0.25">
      <c r="A762">
        <v>65</v>
      </c>
      <c r="B762" s="17" t="s">
        <v>809</v>
      </c>
      <c r="C762">
        <v>4</v>
      </c>
      <c r="D762" s="17" t="s">
        <v>37</v>
      </c>
      <c r="E762" s="17" t="s">
        <v>38</v>
      </c>
      <c r="F762" s="17" t="s">
        <v>33</v>
      </c>
      <c r="G762">
        <v>1</v>
      </c>
      <c r="H762">
        <v>45000</v>
      </c>
      <c r="I762">
        <v>22000</v>
      </c>
      <c r="J762">
        <v>0</v>
      </c>
      <c r="K762" s="17">
        <f>(Fact_Ventas_Detalle[[#This Row],[Cantidad]]*Fact_Ventas_Detalle[[#This Row],[Precio Unitario]])-Fact_Ventas_Detalle[[#This Row],[Descuento Linea]]</f>
        <v>45000</v>
      </c>
    </row>
    <row r="763" spans="1:11" x14ac:dyDescent="0.25">
      <c r="A763">
        <v>65</v>
      </c>
      <c r="B763" s="17" t="s">
        <v>823</v>
      </c>
      <c r="C763">
        <v>3</v>
      </c>
      <c r="D763" s="17" t="s">
        <v>17</v>
      </c>
      <c r="E763" s="17" t="s">
        <v>18</v>
      </c>
      <c r="F763" s="17" t="s">
        <v>19</v>
      </c>
      <c r="G763">
        <v>1</v>
      </c>
      <c r="H763">
        <v>65000</v>
      </c>
      <c r="I763">
        <v>35000</v>
      </c>
      <c r="J763">
        <v>3250</v>
      </c>
      <c r="K763" s="17">
        <f>(Fact_Ventas_Detalle[[#This Row],[Cantidad]]*Fact_Ventas_Detalle[[#This Row],[Precio Unitario]])-Fact_Ventas_Detalle[[#This Row],[Descuento Linea]]</f>
        <v>61750</v>
      </c>
    </row>
    <row r="764" spans="1:11" x14ac:dyDescent="0.25">
      <c r="A764">
        <v>65</v>
      </c>
      <c r="B764" s="17" t="s">
        <v>632</v>
      </c>
      <c r="C764">
        <v>3</v>
      </c>
      <c r="D764" s="17" t="s">
        <v>17</v>
      </c>
      <c r="E764" s="17" t="s">
        <v>18</v>
      </c>
      <c r="F764" s="17" t="s">
        <v>19</v>
      </c>
      <c r="G764">
        <v>3</v>
      </c>
      <c r="H764">
        <v>65000</v>
      </c>
      <c r="I764">
        <v>35000</v>
      </c>
      <c r="J764">
        <v>9750</v>
      </c>
      <c r="K764" s="17">
        <f>(Fact_Ventas_Detalle[[#This Row],[Cantidad]]*Fact_Ventas_Detalle[[#This Row],[Precio Unitario]])-Fact_Ventas_Detalle[[#This Row],[Descuento Linea]]</f>
        <v>185250</v>
      </c>
    </row>
    <row r="765" spans="1:11" x14ac:dyDescent="0.25">
      <c r="A765">
        <v>65</v>
      </c>
      <c r="B765" s="17" t="s">
        <v>242</v>
      </c>
      <c r="C765">
        <v>2</v>
      </c>
      <c r="D765" s="17" t="s">
        <v>27</v>
      </c>
      <c r="E765" s="17" t="s">
        <v>28</v>
      </c>
      <c r="F765" s="17" t="s">
        <v>29</v>
      </c>
      <c r="G765">
        <v>3</v>
      </c>
      <c r="H765">
        <v>240000</v>
      </c>
      <c r="I765">
        <v>150000</v>
      </c>
      <c r="J765">
        <v>72000</v>
      </c>
      <c r="K765" s="17">
        <f>(Fact_Ventas_Detalle[[#This Row],[Cantidad]]*Fact_Ventas_Detalle[[#This Row],[Precio Unitario]])-Fact_Ventas_Detalle[[#This Row],[Descuento Linea]]</f>
        <v>648000</v>
      </c>
    </row>
    <row r="766" spans="1:11" x14ac:dyDescent="0.25">
      <c r="A766">
        <v>65</v>
      </c>
      <c r="B766" s="17" t="s">
        <v>244</v>
      </c>
      <c r="C766">
        <v>1</v>
      </c>
      <c r="D766" s="17" t="s">
        <v>24</v>
      </c>
      <c r="E766" s="17" t="s">
        <v>25</v>
      </c>
      <c r="F766" s="17" t="s">
        <v>14</v>
      </c>
      <c r="G766">
        <v>3</v>
      </c>
      <c r="H766">
        <v>850000</v>
      </c>
      <c r="I766">
        <v>620000</v>
      </c>
      <c r="J766">
        <v>127500</v>
      </c>
      <c r="K766" s="17">
        <f>(Fact_Ventas_Detalle[[#This Row],[Cantidad]]*Fact_Ventas_Detalle[[#This Row],[Precio Unitario]])-Fact_Ventas_Detalle[[#This Row],[Descuento Linea]]</f>
        <v>2422500</v>
      </c>
    </row>
    <row r="767" spans="1:11" x14ac:dyDescent="0.25">
      <c r="A767">
        <v>66</v>
      </c>
      <c r="B767" s="17" t="s">
        <v>245</v>
      </c>
      <c r="C767">
        <v>1</v>
      </c>
      <c r="D767" s="17" t="s">
        <v>42</v>
      </c>
      <c r="E767" s="17" t="s">
        <v>43</v>
      </c>
      <c r="F767" s="17" t="s">
        <v>29</v>
      </c>
      <c r="G767">
        <v>1</v>
      </c>
      <c r="H767">
        <v>185000</v>
      </c>
      <c r="I767">
        <v>115000</v>
      </c>
      <c r="J767">
        <v>0</v>
      </c>
      <c r="K767" s="17">
        <f>(Fact_Ventas_Detalle[[#This Row],[Cantidad]]*Fact_Ventas_Detalle[[#This Row],[Precio Unitario]])-Fact_Ventas_Detalle[[#This Row],[Descuento Linea]]</f>
        <v>185000</v>
      </c>
    </row>
    <row r="768" spans="1:11" x14ac:dyDescent="0.25">
      <c r="A768">
        <v>66</v>
      </c>
      <c r="B768" s="17" t="s">
        <v>246</v>
      </c>
      <c r="C768">
        <v>1</v>
      </c>
      <c r="D768" s="17" t="s">
        <v>24</v>
      </c>
      <c r="E768" s="17" t="s">
        <v>25</v>
      </c>
      <c r="F768" s="17" t="s">
        <v>14</v>
      </c>
      <c r="G768">
        <v>1</v>
      </c>
      <c r="H768">
        <v>850000</v>
      </c>
      <c r="I768">
        <v>620000</v>
      </c>
      <c r="J768">
        <v>0</v>
      </c>
      <c r="K768" s="17">
        <f>(Fact_Ventas_Detalle[[#This Row],[Cantidad]]*Fact_Ventas_Detalle[[#This Row],[Precio Unitario]])-Fact_Ventas_Detalle[[#This Row],[Descuento Linea]]</f>
        <v>850000</v>
      </c>
    </row>
    <row r="769" spans="1:11" x14ac:dyDescent="0.25">
      <c r="A769">
        <v>66</v>
      </c>
      <c r="B769" s="17" t="s">
        <v>247</v>
      </c>
      <c r="C769">
        <v>1</v>
      </c>
      <c r="D769" s="17" t="s">
        <v>39</v>
      </c>
      <c r="E769" s="17" t="s">
        <v>40</v>
      </c>
      <c r="F769" s="17" t="s">
        <v>14</v>
      </c>
      <c r="G769">
        <v>1</v>
      </c>
      <c r="H769">
        <v>75000</v>
      </c>
      <c r="I769">
        <v>42000</v>
      </c>
      <c r="J769">
        <v>0</v>
      </c>
      <c r="K769" s="17">
        <f>(Fact_Ventas_Detalle[[#This Row],[Cantidad]]*Fact_Ventas_Detalle[[#This Row],[Precio Unitario]])-Fact_Ventas_Detalle[[#This Row],[Descuento Linea]]</f>
        <v>75000</v>
      </c>
    </row>
    <row r="770" spans="1:11" x14ac:dyDescent="0.25">
      <c r="A770">
        <v>66</v>
      </c>
      <c r="B770" s="17" t="s">
        <v>242</v>
      </c>
      <c r="C770">
        <v>3</v>
      </c>
      <c r="D770" s="17" t="s">
        <v>42</v>
      </c>
      <c r="E770" s="17" t="s">
        <v>43</v>
      </c>
      <c r="F770" s="17" t="s">
        <v>29</v>
      </c>
      <c r="G770">
        <v>2</v>
      </c>
      <c r="H770">
        <v>185000</v>
      </c>
      <c r="I770">
        <v>115000</v>
      </c>
      <c r="J770">
        <v>0</v>
      </c>
      <c r="K770" s="17">
        <f>(Fact_Ventas_Detalle[[#This Row],[Cantidad]]*Fact_Ventas_Detalle[[#This Row],[Precio Unitario]])-Fact_Ventas_Detalle[[#This Row],[Descuento Linea]]</f>
        <v>370000</v>
      </c>
    </row>
    <row r="771" spans="1:11" x14ac:dyDescent="0.25">
      <c r="A771">
        <v>66</v>
      </c>
      <c r="B771" s="17" t="s">
        <v>240</v>
      </c>
      <c r="C771">
        <v>4</v>
      </c>
      <c r="D771" s="17" t="s">
        <v>39</v>
      </c>
      <c r="E771" s="17" t="s">
        <v>40</v>
      </c>
      <c r="F771" s="17" t="s">
        <v>14</v>
      </c>
      <c r="G771">
        <v>3</v>
      </c>
      <c r="H771">
        <v>75000</v>
      </c>
      <c r="I771">
        <v>42000</v>
      </c>
      <c r="J771">
        <v>0</v>
      </c>
      <c r="K771" s="17">
        <f>(Fact_Ventas_Detalle[[#This Row],[Cantidad]]*Fact_Ventas_Detalle[[#This Row],[Precio Unitario]])-Fact_Ventas_Detalle[[#This Row],[Descuento Linea]]</f>
        <v>225000</v>
      </c>
    </row>
    <row r="772" spans="1:11" x14ac:dyDescent="0.25">
      <c r="A772">
        <v>66</v>
      </c>
      <c r="B772" s="17" t="s">
        <v>823</v>
      </c>
      <c r="C772">
        <v>4</v>
      </c>
      <c r="D772" s="17" t="s">
        <v>27</v>
      </c>
      <c r="E772" s="17" t="s">
        <v>28</v>
      </c>
      <c r="F772" s="17" t="s">
        <v>29</v>
      </c>
      <c r="G772">
        <v>3</v>
      </c>
      <c r="H772">
        <v>240000</v>
      </c>
      <c r="I772">
        <v>150000</v>
      </c>
      <c r="J772">
        <v>36000</v>
      </c>
      <c r="K772" s="17">
        <f>(Fact_Ventas_Detalle[[#This Row],[Cantidad]]*Fact_Ventas_Detalle[[#This Row],[Precio Unitario]])-Fact_Ventas_Detalle[[#This Row],[Descuento Linea]]</f>
        <v>684000</v>
      </c>
    </row>
    <row r="773" spans="1:11" x14ac:dyDescent="0.25">
      <c r="A773">
        <v>66</v>
      </c>
      <c r="B773" s="17" t="s">
        <v>249</v>
      </c>
      <c r="C773">
        <v>1</v>
      </c>
      <c r="D773" s="17" t="s">
        <v>42</v>
      </c>
      <c r="E773" s="17" t="s">
        <v>43</v>
      </c>
      <c r="F773" s="17" t="s">
        <v>29</v>
      </c>
      <c r="G773">
        <v>2</v>
      </c>
      <c r="H773">
        <v>185000</v>
      </c>
      <c r="I773">
        <v>115000</v>
      </c>
      <c r="J773">
        <v>37000</v>
      </c>
      <c r="K773" s="17">
        <f>(Fact_Ventas_Detalle[[#This Row],[Cantidad]]*Fact_Ventas_Detalle[[#This Row],[Precio Unitario]])-Fact_Ventas_Detalle[[#This Row],[Descuento Linea]]</f>
        <v>333000</v>
      </c>
    </row>
    <row r="774" spans="1:11" x14ac:dyDescent="0.25">
      <c r="A774">
        <v>66</v>
      </c>
      <c r="B774" s="17" t="s">
        <v>738</v>
      </c>
      <c r="C774">
        <v>1</v>
      </c>
      <c r="D774" s="17" t="s">
        <v>12</v>
      </c>
      <c r="E774" s="17" t="s">
        <v>13</v>
      </c>
      <c r="F774" s="17" t="s">
        <v>14</v>
      </c>
      <c r="G774">
        <v>3</v>
      </c>
      <c r="H774">
        <v>280000</v>
      </c>
      <c r="I774">
        <v>190000</v>
      </c>
      <c r="J774">
        <v>84000</v>
      </c>
      <c r="K774" s="17">
        <f>(Fact_Ventas_Detalle[[#This Row],[Cantidad]]*Fact_Ventas_Detalle[[#This Row],[Precio Unitario]])-Fact_Ventas_Detalle[[#This Row],[Descuento Linea]]</f>
        <v>756000</v>
      </c>
    </row>
    <row r="775" spans="1:11" x14ac:dyDescent="0.25">
      <c r="A775">
        <v>66</v>
      </c>
      <c r="B775" s="17" t="s">
        <v>248</v>
      </c>
      <c r="C775">
        <v>1</v>
      </c>
      <c r="D775" s="17" t="s">
        <v>24</v>
      </c>
      <c r="E775" s="17" t="s">
        <v>25</v>
      </c>
      <c r="F775" s="17" t="s">
        <v>14</v>
      </c>
      <c r="G775">
        <v>1</v>
      </c>
      <c r="H775">
        <v>850000</v>
      </c>
      <c r="I775">
        <v>620000</v>
      </c>
      <c r="J775">
        <v>42500</v>
      </c>
      <c r="K775" s="17">
        <f>(Fact_Ventas_Detalle[[#This Row],[Cantidad]]*Fact_Ventas_Detalle[[#This Row],[Precio Unitario]])-Fact_Ventas_Detalle[[#This Row],[Descuento Linea]]</f>
        <v>807500</v>
      </c>
    </row>
    <row r="776" spans="1:11" x14ac:dyDescent="0.25">
      <c r="A776">
        <v>66</v>
      </c>
      <c r="B776" s="17" t="s">
        <v>811</v>
      </c>
      <c r="C776">
        <v>1</v>
      </c>
      <c r="D776" s="17" t="s">
        <v>24</v>
      </c>
      <c r="E776" s="17" t="s">
        <v>25</v>
      </c>
      <c r="F776" s="17" t="s">
        <v>14</v>
      </c>
      <c r="G776">
        <v>1</v>
      </c>
      <c r="H776">
        <v>850000</v>
      </c>
      <c r="I776">
        <v>620000</v>
      </c>
      <c r="J776">
        <v>85000</v>
      </c>
      <c r="K776" s="17">
        <f>(Fact_Ventas_Detalle[[#This Row],[Cantidad]]*Fact_Ventas_Detalle[[#This Row],[Precio Unitario]])-Fact_Ventas_Detalle[[#This Row],[Descuento Linea]]</f>
        <v>765000</v>
      </c>
    </row>
    <row r="777" spans="1:11" x14ac:dyDescent="0.25">
      <c r="A777">
        <v>67</v>
      </c>
      <c r="B777" s="17" t="s">
        <v>250</v>
      </c>
      <c r="C777">
        <v>1</v>
      </c>
      <c r="D777" s="17" t="s">
        <v>39</v>
      </c>
      <c r="E777" s="17" t="s">
        <v>40</v>
      </c>
      <c r="F777" s="17" t="s">
        <v>14</v>
      </c>
      <c r="G777">
        <v>1</v>
      </c>
      <c r="H777">
        <v>75000</v>
      </c>
      <c r="I777">
        <v>42000</v>
      </c>
      <c r="J777">
        <v>0</v>
      </c>
      <c r="K777" s="17">
        <f>(Fact_Ventas_Detalle[[#This Row],[Cantidad]]*Fact_Ventas_Detalle[[#This Row],[Precio Unitario]])-Fact_Ventas_Detalle[[#This Row],[Descuento Linea]]</f>
        <v>75000</v>
      </c>
    </row>
    <row r="778" spans="1:11" x14ac:dyDescent="0.25">
      <c r="A778">
        <v>67</v>
      </c>
      <c r="B778" s="17" t="s">
        <v>251</v>
      </c>
      <c r="C778">
        <v>1</v>
      </c>
      <c r="D778" s="17" t="s">
        <v>42</v>
      </c>
      <c r="E778" s="17" t="s">
        <v>43</v>
      </c>
      <c r="F778" s="17" t="s">
        <v>29</v>
      </c>
      <c r="G778">
        <v>2</v>
      </c>
      <c r="H778">
        <v>185000</v>
      </c>
      <c r="I778">
        <v>115000</v>
      </c>
      <c r="J778">
        <v>0</v>
      </c>
      <c r="K778" s="17">
        <f>(Fact_Ventas_Detalle[[#This Row],[Cantidad]]*Fact_Ventas_Detalle[[#This Row],[Precio Unitario]])-Fact_Ventas_Detalle[[#This Row],[Descuento Linea]]</f>
        <v>370000</v>
      </c>
    </row>
    <row r="779" spans="1:11" x14ac:dyDescent="0.25">
      <c r="A779">
        <v>67</v>
      </c>
      <c r="B779" s="17" t="s">
        <v>825</v>
      </c>
      <c r="C779">
        <v>1</v>
      </c>
      <c r="D779" s="17" t="s">
        <v>27</v>
      </c>
      <c r="E779" s="17" t="s">
        <v>28</v>
      </c>
      <c r="F779" s="17" t="s">
        <v>29</v>
      </c>
      <c r="G779">
        <v>1</v>
      </c>
      <c r="H779">
        <v>240000</v>
      </c>
      <c r="I779">
        <v>150000</v>
      </c>
      <c r="J779">
        <v>0</v>
      </c>
      <c r="K779" s="17">
        <f>(Fact_Ventas_Detalle[[#This Row],[Cantidad]]*Fact_Ventas_Detalle[[#This Row],[Precio Unitario]])-Fact_Ventas_Detalle[[#This Row],[Descuento Linea]]</f>
        <v>240000</v>
      </c>
    </row>
    <row r="780" spans="1:11" x14ac:dyDescent="0.25">
      <c r="A780">
        <v>67</v>
      </c>
      <c r="B780" s="17" t="s">
        <v>738</v>
      </c>
      <c r="C780">
        <v>2</v>
      </c>
      <c r="D780" s="17" t="s">
        <v>42</v>
      </c>
      <c r="E780" s="17" t="s">
        <v>43</v>
      </c>
      <c r="F780" s="17" t="s">
        <v>29</v>
      </c>
      <c r="G780">
        <v>1</v>
      </c>
      <c r="H780">
        <v>185000</v>
      </c>
      <c r="I780">
        <v>115000</v>
      </c>
      <c r="J780">
        <v>0</v>
      </c>
      <c r="K780" s="17">
        <f>(Fact_Ventas_Detalle[[#This Row],[Cantidad]]*Fact_Ventas_Detalle[[#This Row],[Precio Unitario]])-Fact_Ventas_Detalle[[#This Row],[Descuento Linea]]</f>
        <v>185000</v>
      </c>
    </row>
    <row r="781" spans="1:11" x14ac:dyDescent="0.25">
      <c r="A781">
        <v>67</v>
      </c>
      <c r="B781" s="17" t="s">
        <v>245</v>
      </c>
      <c r="C781">
        <v>2</v>
      </c>
      <c r="D781" s="17" t="s">
        <v>39</v>
      </c>
      <c r="E781" s="17" t="s">
        <v>40</v>
      </c>
      <c r="F781" s="17" t="s">
        <v>14</v>
      </c>
      <c r="G781">
        <v>3</v>
      </c>
      <c r="H781">
        <v>75000</v>
      </c>
      <c r="I781">
        <v>42000</v>
      </c>
      <c r="J781">
        <v>22500</v>
      </c>
      <c r="K781" s="17">
        <f>(Fact_Ventas_Detalle[[#This Row],[Cantidad]]*Fact_Ventas_Detalle[[#This Row],[Precio Unitario]])-Fact_Ventas_Detalle[[#This Row],[Descuento Linea]]</f>
        <v>202500</v>
      </c>
    </row>
    <row r="782" spans="1:11" x14ac:dyDescent="0.25">
      <c r="A782">
        <v>67</v>
      </c>
      <c r="B782" s="17" t="s">
        <v>249</v>
      </c>
      <c r="C782">
        <v>2</v>
      </c>
      <c r="D782" s="17" t="s">
        <v>12</v>
      </c>
      <c r="E782" s="17" t="s">
        <v>13</v>
      </c>
      <c r="F782" s="17" t="s">
        <v>14</v>
      </c>
      <c r="G782">
        <v>2</v>
      </c>
      <c r="H782">
        <v>280000</v>
      </c>
      <c r="I782">
        <v>190000</v>
      </c>
      <c r="J782">
        <v>56000</v>
      </c>
      <c r="K782" s="17">
        <f>(Fact_Ventas_Detalle[[#This Row],[Cantidad]]*Fact_Ventas_Detalle[[#This Row],[Precio Unitario]])-Fact_Ventas_Detalle[[#This Row],[Descuento Linea]]</f>
        <v>504000</v>
      </c>
    </row>
    <row r="783" spans="1:11" x14ac:dyDescent="0.25">
      <c r="A783">
        <v>67</v>
      </c>
      <c r="B783" s="17" t="s">
        <v>811</v>
      </c>
      <c r="C783">
        <v>2</v>
      </c>
      <c r="D783" s="17" t="s">
        <v>12</v>
      </c>
      <c r="E783" s="17" t="s">
        <v>13</v>
      </c>
      <c r="F783" s="17" t="s">
        <v>14</v>
      </c>
      <c r="G783">
        <v>3</v>
      </c>
      <c r="H783">
        <v>280000</v>
      </c>
      <c r="I783">
        <v>190000</v>
      </c>
      <c r="J783">
        <v>42000</v>
      </c>
      <c r="K783" s="17">
        <f>(Fact_Ventas_Detalle[[#This Row],[Cantidad]]*Fact_Ventas_Detalle[[#This Row],[Precio Unitario]])-Fact_Ventas_Detalle[[#This Row],[Descuento Linea]]</f>
        <v>798000</v>
      </c>
    </row>
    <row r="784" spans="1:11" x14ac:dyDescent="0.25">
      <c r="A784">
        <v>67</v>
      </c>
      <c r="B784" s="17" t="s">
        <v>252</v>
      </c>
      <c r="C784">
        <v>1</v>
      </c>
      <c r="D784" s="17" t="s">
        <v>42</v>
      </c>
      <c r="E784" s="17" t="s">
        <v>43</v>
      </c>
      <c r="F784" s="17" t="s">
        <v>29</v>
      </c>
      <c r="G784">
        <v>3</v>
      </c>
      <c r="H784">
        <v>185000</v>
      </c>
      <c r="I784">
        <v>115000</v>
      </c>
      <c r="J784">
        <v>27750</v>
      </c>
      <c r="K784" s="17">
        <f>(Fact_Ventas_Detalle[[#This Row],[Cantidad]]*Fact_Ventas_Detalle[[#This Row],[Precio Unitario]])-Fact_Ventas_Detalle[[#This Row],[Descuento Linea]]</f>
        <v>527250</v>
      </c>
    </row>
    <row r="785" spans="1:11" x14ac:dyDescent="0.25">
      <c r="A785">
        <v>67</v>
      </c>
      <c r="B785" s="17" t="s">
        <v>253</v>
      </c>
      <c r="C785">
        <v>1</v>
      </c>
      <c r="D785" s="17" t="s">
        <v>42</v>
      </c>
      <c r="E785" s="17" t="s">
        <v>43</v>
      </c>
      <c r="F785" s="17" t="s">
        <v>29</v>
      </c>
      <c r="G785">
        <v>3</v>
      </c>
      <c r="H785">
        <v>185000</v>
      </c>
      <c r="I785">
        <v>115000</v>
      </c>
      <c r="J785">
        <v>55500</v>
      </c>
      <c r="K785" s="17">
        <f>(Fact_Ventas_Detalle[[#This Row],[Cantidad]]*Fact_Ventas_Detalle[[#This Row],[Precio Unitario]])-Fact_Ventas_Detalle[[#This Row],[Descuento Linea]]</f>
        <v>499500</v>
      </c>
    </row>
    <row r="786" spans="1:11" x14ac:dyDescent="0.25">
      <c r="A786">
        <v>67</v>
      </c>
      <c r="B786" s="17" t="s">
        <v>254</v>
      </c>
      <c r="C786">
        <v>1</v>
      </c>
      <c r="D786" s="17" t="s">
        <v>37</v>
      </c>
      <c r="E786" s="17" t="s">
        <v>38</v>
      </c>
      <c r="F786" s="17" t="s">
        <v>33</v>
      </c>
      <c r="G786">
        <v>1</v>
      </c>
      <c r="H786">
        <v>45000</v>
      </c>
      <c r="I786">
        <v>22000</v>
      </c>
      <c r="J786">
        <v>4500</v>
      </c>
      <c r="K786" s="17">
        <f>(Fact_Ventas_Detalle[[#This Row],[Cantidad]]*Fact_Ventas_Detalle[[#This Row],[Precio Unitario]])-Fact_Ventas_Detalle[[#This Row],[Descuento Linea]]</f>
        <v>40500</v>
      </c>
    </row>
    <row r="787" spans="1:11" x14ac:dyDescent="0.25">
      <c r="A787">
        <v>68</v>
      </c>
      <c r="B787" s="17" t="s">
        <v>724</v>
      </c>
      <c r="C787">
        <v>1</v>
      </c>
      <c r="D787" s="17" t="s">
        <v>12</v>
      </c>
      <c r="E787" s="17" t="s">
        <v>13</v>
      </c>
      <c r="F787" s="17" t="s">
        <v>14</v>
      </c>
      <c r="G787">
        <v>3</v>
      </c>
      <c r="H787">
        <v>280000</v>
      </c>
      <c r="I787">
        <v>190000</v>
      </c>
      <c r="J787">
        <v>0</v>
      </c>
      <c r="K787" s="17">
        <f>(Fact_Ventas_Detalle[[#This Row],[Cantidad]]*Fact_Ventas_Detalle[[#This Row],[Precio Unitario]])-Fact_Ventas_Detalle[[#This Row],[Descuento Linea]]</f>
        <v>840000</v>
      </c>
    </row>
    <row r="788" spans="1:11" x14ac:dyDescent="0.25">
      <c r="A788">
        <v>68</v>
      </c>
      <c r="B788" s="17" t="s">
        <v>255</v>
      </c>
      <c r="C788">
        <v>1</v>
      </c>
      <c r="D788" s="17" t="s">
        <v>39</v>
      </c>
      <c r="E788" s="17" t="s">
        <v>40</v>
      </c>
      <c r="F788" s="17" t="s">
        <v>14</v>
      </c>
      <c r="G788">
        <v>2</v>
      </c>
      <c r="H788">
        <v>75000</v>
      </c>
      <c r="I788">
        <v>42000</v>
      </c>
      <c r="J788">
        <v>0</v>
      </c>
      <c r="K788" s="17">
        <f>(Fact_Ventas_Detalle[[#This Row],[Cantidad]]*Fact_Ventas_Detalle[[#This Row],[Precio Unitario]])-Fact_Ventas_Detalle[[#This Row],[Descuento Linea]]</f>
        <v>150000</v>
      </c>
    </row>
    <row r="789" spans="1:11" x14ac:dyDescent="0.25">
      <c r="A789">
        <v>68</v>
      </c>
      <c r="B789" s="17" t="s">
        <v>251</v>
      </c>
      <c r="C789">
        <v>2</v>
      </c>
      <c r="D789" s="17" t="s">
        <v>27</v>
      </c>
      <c r="E789" s="17" t="s">
        <v>28</v>
      </c>
      <c r="F789" s="17" t="s">
        <v>29</v>
      </c>
      <c r="G789">
        <v>1</v>
      </c>
      <c r="H789">
        <v>240000</v>
      </c>
      <c r="I789">
        <v>150000</v>
      </c>
      <c r="J789">
        <v>0</v>
      </c>
      <c r="K789" s="17">
        <f>(Fact_Ventas_Detalle[[#This Row],[Cantidad]]*Fact_Ventas_Detalle[[#This Row],[Precio Unitario]])-Fact_Ventas_Detalle[[#This Row],[Descuento Linea]]</f>
        <v>240000</v>
      </c>
    </row>
    <row r="790" spans="1:11" x14ac:dyDescent="0.25">
      <c r="A790">
        <v>68</v>
      </c>
      <c r="B790" s="17" t="s">
        <v>245</v>
      </c>
      <c r="C790">
        <v>3</v>
      </c>
      <c r="D790" s="17" t="s">
        <v>37</v>
      </c>
      <c r="E790" s="17" t="s">
        <v>38</v>
      </c>
      <c r="F790" s="17" t="s">
        <v>33</v>
      </c>
      <c r="G790">
        <v>1</v>
      </c>
      <c r="H790">
        <v>45000</v>
      </c>
      <c r="I790">
        <v>22000</v>
      </c>
      <c r="J790">
        <v>4500</v>
      </c>
      <c r="K790" s="17">
        <f>(Fact_Ventas_Detalle[[#This Row],[Cantidad]]*Fact_Ventas_Detalle[[#This Row],[Precio Unitario]])-Fact_Ventas_Detalle[[#This Row],[Descuento Linea]]</f>
        <v>40500</v>
      </c>
    </row>
    <row r="791" spans="1:11" x14ac:dyDescent="0.25">
      <c r="A791">
        <v>68</v>
      </c>
      <c r="B791" s="17" t="s">
        <v>250</v>
      </c>
      <c r="C791">
        <v>2</v>
      </c>
      <c r="D791" s="17" t="s">
        <v>27</v>
      </c>
      <c r="E791" s="17" t="s">
        <v>28</v>
      </c>
      <c r="F791" s="17" t="s">
        <v>29</v>
      </c>
      <c r="G791">
        <v>3</v>
      </c>
      <c r="H791">
        <v>240000</v>
      </c>
      <c r="I791">
        <v>150000</v>
      </c>
      <c r="J791">
        <v>36000</v>
      </c>
      <c r="K791" s="17">
        <f>(Fact_Ventas_Detalle[[#This Row],[Cantidad]]*Fact_Ventas_Detalle[[#This Row],[Precio Unitario]])-Fact_Ventas_Detalle[[#This Row],[Descuento Linea]]</f>
        <v>684000</v>
      </c>
    </row>
    <row r="792" spans="1:11" x14ac:dyDescent="0.25">
      <c r="A792">
        <v>68</v>
      </c>
      <c r="B792" s="17" t="s">
        <v>252</v>
      </c>
      <c r="C792">
        <v>2</v>
      </c>
      <c r="D792" s="17" t="s">
        <v>37</v>
      </c>
      <c r="E792" s="17" t="s">
        <v>38</v>
      </c>
      <c r="F792" s="17" t="s">
        <v>33</v>
      </c>
      <c r="G792">
        <v>2</v>
      </c>
      <c r="H792">
        <v>45000</v>
      </c>
      <c r="I792">
        <v>22000</v>
      </c>
      <c r="J792">
        <v>4500</v>
      </c>
      <c r="K792" s="17">
        <f>(Fact_Ventas_Detalle[[#This Row],[Cantidad]]*Fact_Ventas_Detalle[[#This Row],[Precio Unitario]])-Fact_Ventas_Detalle[[#This Row],[Descuento Linea]]</f>
        <v>85500</v>
      </c>
    </row>
    <row r="793" spans="1:11" x14ac:dyDescent="0.25">
      <c r="A793">
        <v>68</v>
      </c>
      <c r="B793" s="17" t="s">
        <v>253</v>
      </c>
      <c r="C793">
        <v>2</v>
      </c>
      <c r="D793" s="17" t="s">
        <v>24</v>
      </c>
      <c r="E793" s="17" t="s">
        <v>25</v>
      </c>
      <c r="F793" s="17" t="s">
        <v>14</v>
      </c>
      <c r="G793">
        <v>2</v>
      </c>
      <c r="H793">
        <v>850000</v>
      </c>
      <c r="I793">
        <v>620000</v>
      </c>
      <c r="J793">
        <v>85000</v>
      </c>
      <c r="K793" s="17">
        <f>(Fact_Ventas_Detalle[[#This Row],[Cantidad]]*Fact_Ventas_Detalle[[#This Row],[Precio Unitario]])-Fact_Ventas_Detalle[[#This Row],[Descuento Linea]]</f>
        <v>1615000</v>
      </c>
    </row>
    <row r="794" spans="1:11" x14ac:dyDescent="0.25">
      <c r="A794">
        <v>68</v>
      </c>
      <c r="B794" s="17" t="s">
        <v>254</v>
      </c>
      <c r="C794">
        <v>2</v>
      </c>
      <c r="D794" s="17" t="s">
        <v>27</v>
      </c>
      <c r="E794" s="17" t="s">
        <v>28</v>
      </c>
      <c r="F794" s="17" t="s">
        <v>29</v>
      </c>
      <c r="G794">
        <v>3</v>
      </c>
      <c r="H794">
        <v>240000</v>
      </c>
      <c r="I794">
        <v>150000</v>
      </c>
      <c r="J794">
        <v>36000</v>
      </c>
      <c r="K794" s="17">
        <f>(Fact_Ventas_Detalle[[#This Row],[Cantidad]]*Fact_Ventas_Detalle[[#This Row],[Precio Unitario]])-Fact_Ventas_Detalle[[#This Row],[Descuento Linea]]</f>
        <v>684000</v>
      </c>
    </row>
    <row r="795" spans="1:11" x14ac:dyDescent="0.25">
      <c r="A795">
        <v>68</v>
      </c>
      <c r="B795" s="17" t="s">
        <v>704</v>
      </c>
      <c r="C795">
        <v>1</v>
      </c>
      <c r="D795" s="17" t="s">
        <v>12</v>
      </c>
      <c r="E795" s="17" t="s">
        <v>13</v>
      </c>
      <c r="F795" s="17" t="s">
        <v>14</v>
      </c>
      <c r="G795">
        <v>2</v>
      </c>
      <c r="H795">
        <v>280000</v>
      </c>
      <c r="I795">
        <v>190000</v>
      </c>
      <c r="J795">
        <v>56000</v>
      </c>
      <c r="K795" s="17">
        <f>(Fact_Ventas_Detalle[[#This Row],[Cantidad]]*Fact_Ventas_Detalle[[#This Row],[Precio Unitario]])-Fact_Ventas_Detalle[[#This Row],[Descuento Linea]]</f>
        <v>504000</v>
      </c>
    </row>
    <row r="796" spans="1:11" x14ac:dyDescent="0.25">
      <c r="A796">
        <v>68</v>
      </c>
      <c r="B796" s="17" t="s">
        <v>837</v>
      </c>
      <c r="C796">
        <v>1</v>
      </c>
      <c r="D796" s="17" t="s">
        <v>17</v>
      </c>
      <c r="E796" s="17" t="s">
        <v>18</v>
      </c>
      <c r="F796" s="17" t="s">
        <v>19</v>
      </c>
      <c r="G796">
        <v>1</v>
      </c>
      <c r="H796">
        <v>65000</v>
      </c>
      <c r="I796">
        <v>35000</v>
      </c>
      <c r="J796">
        <v>3250</v>
      </c>
      <c r="K796" s="17">
        <f>(Fact_Ventas_Detalle[[#This Row],[Cantidad]]*Fact_Ventas_Detalle[[#This Row],[Precio Unitario]])-Fact_Ventas_Detalle[[#This Row],[Descuento Linea]]</f>
        <v>61750</v>
      </c>
    </row>
    <row r="797" spans="1:11" x14ac:dyDescent="0.25">
      <c r="A797">
        <v>69</v>
      </c>
      <c r="B797" s="17" t="s">
        <v>256</v>
      </c>
      <c r="C797">
        <v>1</v>
      </c>
      <c r="D797" s="17" t="s">
        <v>12</v>
      </c>
      <c r="E797" s="17" t="s">
        <v>13</v>
      </c>
      <c r="F797" s="17" t="s">
        <v>14</v>
      </c>
      <c r="G797">
        <v>2</v>
      </c>
      <c r="H797">
        <v>280000</v>
      </c>
      <c r="I797">
        <v>190000</v>
      </c>
      <c r="J797">
        <v>0</v>
      </c>
      <c r="K797" s="17">
        <f>(Fact_Ventas_Detalle[[#This Row],[Cantidad]]*Fact_Ventas_Detalle[[#This Row],[Precio Unitario]])-Fact_Ventas_Detalle[[#This Row],[Descuento Linea]]</f>
        <v>560000</v>
      </c>
    </row>
    <row r="798" spans="1:11" x14ac:dyDescent="0.25">
      <c r="A798">
        <v>69</v>
      </c>
      <c r="B798" s="17" t="s">
        <v>257</v>
      </c>
      <c r="C798">
        <v>1</v>
      </c>
      <c r="D798" s="17" t="s">
        <v>37</v>
      </c>
      <c r="E798" s="17" t="s">
        <v>38</v>
      </c>
      <c r="F798" s="17" t="s">
        <v>33</v>
      </c>
      <c r="G798">
        <v>1</v>
      </c>
      <c r="H798">
        <v>45000</v>
      </c>
      <c r="I798">
        <v>22000</v>
      </c>
      <c r="J798">
        <v>0</v>
      </c>
      <c r="K798" s="17">
        <f>(Fact_Ventas_Detalle[[#This Row],[Cantidad]]*Fact_Ventas_Detalle[[#This Row],[Precio Unitario]])-Fact_Ventas_Detalle[[#This Row],[Descuento Linea]]</f>
        <v>45000</v>
      </c>
    </row>
    <row r="799" spans="1:11" x14ac:dyDescent="0.25">
      <c r="A799">
        <v>69</v>
      </c>
      <c r="B799" s="17" t="s">
        <v>704</v>
      </c>
      <c r="C799">
        <v>2</v>
      </c>
      <c r="D799" s="17" t="s">
        <v>42</v>
      </c>
      <c r="E799" s="17" t="s">
        <v>43</v>
      </c>
      <c r="F799" s="17" t="s">
        <v>29</v>
      </c>
      <c r="G799">
        <v>2</v>
      </c>
      <c r="H799">
        <v>185000</v>
      </c>
      <c r="I799">
        <v>115000</v>
      </c>
      <c r="J799">
        <v>0</v>
      </c>
      <c r="K799" s="17">
        <f>(Fact_Ventas_Detalle[[#This Row],[Cantidad]]*Fact_Ventas_Detalle[[#This Row],[Precio Unitario]])-Fact_Ventas_Detalle[[#This Row],[Descuento Linea]]</f>
        <v>370000</v>
      </c>
    </row>
    <row r="800" spans="1:11" x14ac:dyDescent="0.25">
      <c r="A800">
        <v>69</v>
      </c>
      <c r="B800" s="17" t="s">
        <v>724</v>
      </c>
      <c r="C800">
        <v>2</v>
      </c>
      <c r="D800" s="17" t="s">
        <v>27</v>
      </c>
      <c r="E800" s="17" t="s">
        <v>28</v>
      </c>
      <c r="F800" s="17" t="s">
        <v>29</v>
      </c>
      <c r="G800">
        <v>3</v>
      </c>
      <c r="H800">
        <v>240000</v>
      </c>
      <c r="I800">
        <v>150000</v>
      </c>
      <c r="J800">
        <v>0</v>
      </c>
      <c r="K800" s="17">
        <f>(Fact_Ventas_Detalle[[#This Row],[Cantidad]]*Fact_Ventas_Detalle[[#This Row],[Precio Unitario]])-Fact_Ventas_Detalle[[#This Row],[Descuento Linea]]</f>
        <v>720000</v>
      </c>
    </row>
    <row r="801" spans="1:11" x14ac:dyDescent="0.25">
      <c r="A801">
        <v>69</v>
      </c>
      <c r="B801" s="17" t="s">
        <v>250</v>
      </c>
      <c r="C801">
        <v>3</v>
      </c>
      <c r="D801" s="17" t="s">
        <v>17</v>
      </c>
      <c r="E801" s="17" t="s">
        <v>18</v>
      </c>
      <c r="F801" s="17" t="s">
        <v>19</v>
      </c>
      <c r="G801">
        <v>1</v>
      </c>
      <c r="H801">
        <v>65000</v>
      </c>
      <c r="I801">
        <v>35000</v>
      </c>
      <c r="J801">
        <v>0</v>
      </c>
      <c r="K801" s="17">
        <f>(Fact_Ventas_Detalle[[#This Row],[Cantidad]]*Fact_Ventas_Detalle[[#This Row],[Precio Unitario]])-Fact_Ventas_Detalle[[#This Row],[Descuento Linea]]</f>
        <v>65000</v>
      </c>
    </row>
    <row r="802" spans="1:11" x14ac:dyDescent="0.25">
      <c r="A802">
        <v>69</v>
      </c>
      <c r="B802" s="17" t="s">
        <v>251</v>
      </c>
      <c r="C802">
        <v>3</v>
      </c>
      <c r="D802" s="17" t="s">
        <v>39</v>
      </c>
      <c r="E802" s="17" t="s">
        <v>40</v>
      </c>
      <c r="F802" s="17" t="s">
        <v>14</v>
      </c>
      <c r="G802">
        <v>2</v>
      </c>
      <c r="H802">
        <v>75000</v>
      </c>
      <c r="I802">
        <v>42000</v>
      </c>
      <c r="J802">
        <v>0</v>
      </c>
      <c r="K802" s="17">
        <f>(Fact_Ventas_Detalle[[#This Row],[Cantidad]]*Fact_Ventas_Detalle[[#This Row],[Precio Unitario]])-Fact_Ventas_Detalle[[#This Row],[Descuento Linea]]</f>
        <v>150000</v>
      </c>
    </row>
    <row r="803" spans="1:11" x14ac:dyDescent="0.25">
      <c r="A803">
        <v>69</v>
      </c>
      <c r="B803" s="17" t="s">
        <v>254</v>
      </c>
      <c r="C803">
        <v>3</v>
      </c>
      <c r="D803" s="17" t="s">
        <v>37</v>
      </c>
      <c r="E803" s="17" t="s">
        <v>38</v>
      </c>
      <c r="F803" s="17" t="s">
        <v>33</v>
      </c>
      <c r="G803">
        <v>2</v>
      </c>
      <c r="H803">
        <v>45000</v>
      </c>
      <c r="I803">
        <v>22000</v>
      </c>
      <c r="J803">
        <v>4500</v>
      </c>
      <c r="K803" s="17">
        <f>(Fact_Ventas_Detalle[[#This Row],[Cantidad]]*Fact_Ventas_Detalle[[#This Row],[Precio Unitario]])-Fact_Ventas_Detalle[[#This Row],[Descuento Linea]]</f>
        <v>85500</v>
      </c>
    </row>
    <row r="804" spans="1:11" x14ac:dyDescent="0.25">
      <c r="A804">
        <v>69</v>
      </c>
      <c r="B804" s="17" t="s">
        <v>255</v>
      </c>
      <c r="C804">
        <v>2</v>
      </c>
      <c r="D804" s="17" t="s">
        <v>24</v>
      </c>
      <c r="E804" s="17" t="s">
        <v>25</v>
      </c>
      <c r="F804" s="17" t="s">
        <v>14</v>
      </c>
      <c r="G804">
        <v>3</v>
      </c>
      <c r="H804">
        <v>850000</v>
      </c>
      <c r="I804">
        <v>620000</v>
      </c>
      <c r="J804">
        <v>127500</v>
      </c>
      <c r="K804" s="17">
        <f>(Fact_Ventas_Detalle[[#This Row],[Cantidad]]*Fact_Ventas_Detalle[[#This Row],[Precio Unitario]])-Fact_Ventas_Detalle[[#This Row],[Descuento Linea]]</f>
        <v>2422500</v>
      </c>
    </row>
    <row r="805" spans="1:11" x14ac:dyDescent="0.25">
      <c r="A805">
        <v>69</v>
      </c>
      <c r="B805" s="17" t="s">
        <v>258</v>
      </c>
      <c r="C805">
        <v>1</v>
      </c>
      <c r="D805" s="17" t="s">
        <v>12</v>
      </c>
      <c r="E805" s="17" t="s">
        <v>13</v>
      </c>
      <c r="F805" s="17" t="s">
        <v>14</v>
      </c>
      <c r="G805">
        <v>2</v>
      </c>
      <c r="H805">
        <v>280000</v>
      </c>
      <c r="I805">
        <v>190000</v>
      </c>
      <c r="J805">
        <v>28000</v>
      </c>
      <c r="K805" s="17">
        <f>(Fact_Ventas_Detalle[[#This Row],[Cantidad]]*Fact_Ventas_Detalle[[#This Row],[Precio Unitario]])-Fact_Ventas_Detalle[[#This Row],[Descuento Linea]]</f>
        <v>532000</v>
      </c>
    </row>
    <row r="806" spans="1:11" x14ac:dyDescent="0.25">
      <c r="A806">
        <v>69</v>
      </c>
      <c r="B806" s="17" t="s">
        <v>476</v>
      </c>
      <c r="C806">
        <v>1</v>
      </c>
      <c r="D806" s="17" t="s">
        <v>17</v>
      </c>
      <c r="E806" s="17" t="s">
        <v>18</v>
      </c>
      <c r="F806" s="17" t="s">
        <v>19</v>
      </c>
      <c r="G806">
        <v>3</v>
      </c>
      <c r="H806">
        <v>65000</v>
      </c>
      <c r="I806">
        <v>35000</v>
      </c>
      <c r="J806">
        <v>19500</v>
      </c>
      <c r="K806" s="17">
        <f>(Fact_Ventas_Detalle[[#This Row],[Cantidad]]*Fact_Ventas_Detalle[[#This Row],[Precio Unitario]])-Fact_Ventas_Detalle[[#This Row],[Descuento Linea]]</f>
        <v>175500</v>
      </c>
    </row>
    <row r="807" spans="1:11" x14ac:dyDescent="0.25">
      <c r="A807">
        <v>70</v>
      </c>
      <c r="B807" s="17" t="s">
        <v>559</v>
      </c>
      <c r="C807">
        <v>1</v>
      </c>
      <c r="D807" s="17" t="s">
        <v>37</v>
      </c>
      <c r="E807" s="17" t="s">
        <v>38</v>
      </c>
      <c r="F807" s="17" t="s">
        <v>33</v>
      </c>
      <c r="G807">
        <v>3</v>
      </c>
      <c r="H807">
        <v>45000</v>
      </c>
      <c r="I807">
        <v>22000</v>
      </c>
      <c r="J807">
        <v>0</v>
      </c>
      <c r="K807" s="17">
        <f>(Fact_Ventas_Detalle[[#This Row],[Cantidad]]*Fact_Ventas_Detalle[[#This Row],[Precio Unitario]])-Fact_Ventas_Detalle[[#This Row],[Descuento Linea]]</f>
        <v>135000</v>
      </c>
    </row>
    <row r="808" spans="1:11" x14ac:dyDescent="0.25">
      <c r="A808">
        <v>70</v>
      </c>
      <c r="B808" s="17" t="s">
        <v>476</v>
      </c>
      <c r="C808">
        <v>2</v>
      </c>
      <c r="D808" s="17" t="s">
        <v>24</v>
      </c>
      <c r="E808" s="17" t="s">
        <v>25</v>
      </c>
      <c r="F808" s="17" t="s">
        <v>14</v>
      </c>
      <c r="G808">
        <v>2</v>
      </c>
      <c r="H808">
        <v>850000</v>
      </c>
      <c r="I808">
        <v>620000</v>
      </c>
      <c r="J808">
        <v>0</v>
      </c>
      <c r="K808" s="17">
        <f>(Fact_Ventas_Detalle[[#This Row],[Cantidad]]*Fact_Ventas_Detalle[[#This Row],[Precio Unitario]])-Fact_Ventas_Detalle[[#This Row],[Descuento Linea]]</f>
        <v>1700000</v>
      </c>
    </row>
    <row r="809" spans="1:11" x14ac:dyDescent="0.25">
      <c r="A809">
        <v>70</v>
      </c>
      <c r="B809" s="17" t="s">
        <v>255</v>
      </c>
      <c r="C809">
        <v>3</v>
      </c>
      <c r="D809" s="17" t="s">
        <v>24</v>
      </c>
      <c r="E809" s="17" t="s">
        <v>25</v>
      </c>
      <c r="F809" s="17" t="s">
        <v>14</v>
      </c>
      <c r="G809">
        <v>3</v>
      </c>
      <c r="H809">
        <v>850000</v>
      </c>
      <c r="I809">
        <v>620000</v>
      </c>
      <c r="J809">
        <v>0</v>
      </c>
      <c r="K809" s="17">
        <f>(Fact_Ventas_Detalle[[#This Row],[Cantidad]]*Fact_Ventas_Detalle[[#This Row],[Precio Unitario]])-Fact_Ventas_Detalle[[#This Row],[Descuento Linea]]</f>
        <v>2550000</v>
      </c>
    </row>
    <row r="810" spans="1:11" x14ac:dyDescent="0.25">
      <c r="A810">
        <v>70</v>
      </c>
      <c r="B810" s="17" t="s">
        <v>250</v>
      </c>
      <c r="C810">
        <v>4</v>
      </c>
      <c r="D810" s="17" t="s">
        <v>31</v>
      </c>
      <c r="E810" s="17" t="s">
        <v>32</v>
      </c>
      <c r="F810" s="17" t="s">
        <v>33</v>
      </c>
      <c r="G810">
        <v>3</v>
      </c>
      <c r="H810">
        <v>25000</v>
      </c>
      <c r="I810">
        <v>11000</v>
      </c>
      <c r="J810">
        <v>0</v>
      </c>
      <c r="K810" s="17">
        <f>(Fact_Ventas_Detalle[[#This Row],[Cantidad]]*Fact_Ventas_Detalle[[#This Row],[Precio Unitario]])-Fact_Ventas_Detalle[[#This Row],[Descuento Linea]]</f>
        <v>75000</v>
      </c>
    </row>
    <row r="811" spans="1:11" x14ac:dyDescent="0.25">
      <c r="A811">
        <v>70</v>
      </c>
      <c r="B811" s="17" t="s">
        <v>251</v>
      </c>
      <c r="C811">
        <v>4</v>
      </c>
      <c r="D811" s="17" t="s">
        <v>17</v>
      </c>
      <c r="E811" s="17" t="s">
        <v>18</v>
      </c>
      <c r="F811" s="17" t="s">
        <v>19</v>
      </c>
      <c r="G811">
        <v>2</v>
      </c>
      <c r="H811">
        <v>65000</v>
      </c>
      <c r="I811">
        <v>35000</v>
      </c>
      <c r="J811">
        <v>0</v>
      </c>
      <c r="K811" s="17">
        <f>(Fact_Ventas_Detalle[[#This Row],[Cantidad]]*Fact_Ventas_Detalle[[#This Row],[Precio Unitario]])-Fact_Ventas_Detalle[[#This Row],[Descuento Linea]]</f>
        <v>130000</v>
      </c>
    </row>
    <row r="812" spans="1:11" x14ac:dyDescent="0.25">
      <c r="A812">
        <v>70</v>
      </c>
      <c r="B812" s="17" t="s">
        <v>254</v>
      </c>
      <c r="C812">
        <v>4</v>
      </c>
      <c r="D812" s="17" t="s">
        <v>17</v>
      </c>
      <c r="E812" s="17" t="s">
        <v>18</v>
      </c>
      <c r="F812" s="17" t="s">
        <v>19</v>
      </c>
      <c r="G812">
        <v>2</v>
      </c>
      <c r="H812">
        <v>65000</v>
      </c>
      <c r="I812">
        <v>35000</v>
      </c>
      <c r="J812">
        <v>13000</v>
      </c>
      <c r="K812" s="17">
        <f>(Fact_Ventas_Detalle[[#This Row],[Cantidad]]*Fact_Ventas_Detalle[[#This Row],[Precio Unitario]])-Fact_Ventas_Detalle[[#This Row],[Descuento Linea]]</f>
        <v>117000</v>
      </c>
    </row>
    <row r="813" spans="1:11" x14ac:dyDescent="0.25">
      <c r="A813">
        <v>70</v>
      </c>
      <c r="B813" s="17" t="s">
        <v>704</v>
      </c>
      <c r="C813">
        <v>3</v>
      </c>
      <c r="D813" s="17" t="s">
        <v>31</v>
      </c>
      <c r="E813" s="17" t="s">
        <v>32</v>
      </c>
      <c r="F813" s="17" t="s">
        <v>33</v>
      </c>
      <c r="G813">
        <v>2</v>
      </c>
      <c r="H813">
        <v>25000</v>
      </c>
      <c r="I813">
        <v>11000</v>
      </c>
      <c r="J813">
        <v>2500</v>
      </c>
      <c r="K813" s="17">
        <f>(Fact_Ventas_Detalle[[#This Row],[Cantidad]]*Fact_Ventas_Detalle[[#This Row],[Precio Unitario]])-Fact_Ventas_Detalle[[#This Row],[Descuento Linea]]</f>
        <v>47500</v>
      </c>
    </row>
    <row r="814" spans="1:11" x14ac:dyDescent="0.25">
      <c r="A814">
        <v>70</v>
      </c>
      <c r="B814" s="17" t="s">
        <v>256</v>
      </c>
      <c r="C814">
        <v>2</v>
      </c>
      <c r="D814" s="17" t="s">
        <v>27</v>
      </c>
      <c r="E814" s="17" t="s">
        <v>28</v>
      </c>
      <c r="F814" s="17" t="s">
        <v>29</v>
      </c>
      <c r="G814">
        <v>1</v>
      </c>
      <c r="H814">
        <v>240000</v>
      </c>
      <c r="I814">
        <v>150000</v>
      </c>
      <c r="J814">
        <v>24000</v>
      </c>
      <c r="K814" s="17">
        <f>(Fact_Ventas_Detalle[[#This Row],[Cantidad]]*Fact_Ventas_Detalle[[#This Row],[Precio Unitario]])-Fact_Ventas_Detalle[[#This Row],[Descuento Linea]]</f>
        <v>216000</v>
      </c>
    </row>
    <row r="815" spans="1:11" x14ac:dyDescent="0.25">
      <c r="A815">
        <v>70</v>
      </c>
      <c r="B815" s="17" t="s">
        <v>258</v>
      </c>
      <c r="C815">
        <v>2</v>
      </c>
      <c r="D815" s="17" t="s">
        <v>24</v>
      </c>
      <c r="E815" s="17" t="s">
        <v>25</v>
      </c>
      <c r="F815" s="17" t="s">
        <v>14</v>
      </c>
      <c r="G815">
        <v>3</v>
      </c>
      <c r="H815">
        <v>850000</v>
      </c>
      <c r="I815">
        <v>620000</v>
      </c>
      <c r="J815">
        <v>255000</v>
      </c>
      <c r="K815" s="17">
        <f>(Fact_Ventas_Detalle[[#This Row],[Cantidad]]*Fact_Ventas_Detalle[[#This Row],[Precio Unitario]])-Fact_Ventas_Detalle[[#This Row],[Descuento Linea]]</f>
        <v>2295000</v>
      </c>
    </row>
    <row r="816" spans="1:11" x14ac:dyDescent="0.25">
      <c r="A816">
        <v>70</v>
      </c>
      <c r="B816" s="17" t="s">
        <v>257</v>
      </c>
      <c r="C816">
        <v>2</v>
      </c>
      <c r="D816" s="17" t="s">
        <v>27</v>
      </c>
      <c r="E816" s="17" t="s">
        <v>28</v>
      </c>
      <c r="F816" s="17" t="s">
        <v>29</v>
      </c>
      <c r="G816">
        <v>3</v>
      </c>
      <c r="H816">
        <v>240000</v>
      </c>
      <c r="I816">
        <v>150000</v>
      </c>
      <c r="J816">
        <v>36000</v>
      </c>
      <c r="K816" s="17">
        <f>(Fact_Ventas_Detalle[[#This Row],[Cantidad]]*Fact_Ventas_Detalle[[#This Row],[Precio Unitario]])-Fact_Ventas_Detalle[[#This Row],[Descuento Linea]]</f>
        <v>684000</v>
      </c>
    </row>
    <row r="817" spans="1:11" x14ac:dyDescent="0.25">
      <c r="A817">
        <v>71</v>
      </c>
      <c r="B817" s="17" t="s">
        <v>559</v>
      </c>
      <c r="C817">
        <v>2</v>
      </c>
      <c r="D817" s="17" t="s">
        <v>17</v>
      </c>
      <c r="E817" s="17" t="s">
        <v>18</v>
      </c>
      <c r="F817" s="17" t="s">
        <v>19</v>
      </c>
      <c r="G817">
        <v>3</v>
      </c>
      <c r="H817">
        <v>65000</v>
      </c>
      <c r="I817">
        <v>35000</v>
      </c>
      <c r="J817">
        <v>0</v>
      </c>
      <c r="K817" s="17">
        <f>(Fact_Ventas_Detalle[[#This Row],[Cantidad]]*Fact_Ventas_Detalle[[#This Row],[Precio Unitario]])-Fact_Ventas_Detalle[[#This Row],[Descuento Linea]]</f>
        <v>195000</v>
      </c>
    </row>
    <row r="818" spans="1:11" x14ac:dyDescent="0.25">
      <c r="A818">
        <v>71</v>
      </c>
      <c r="B818" s="17" t="s">
        <v>258</v>
      </c>
      <c r="C818">
        <v>3</v>
      </c>
      <c r="D818" s="17" t="s">
        <v>17</v>
      </c>
      <c r="E818" s="17" t="s">
        <v>18</v>
      </c>
      <c r="F818" s="17" t="s">
        <v>19</v>
      </c>
      <c r="G818">
        <v>3</v>
      </c>
      <c r="H818">
        <v>65000</v>
      </c>
      <c r="I818">
        <v>35000</v>
      </c>
      <c r="J818">
        <v>0</v>
      </c>
      <c r="K818" s="17">
        <f>(Fact_Ventas_Detalle[[#This Row],[Cantidad]]*Fact_Ventas_Detalle[[#This Row],[Precio Unitario]])-Fact_Ventas_Detalle[[#This Row],[Descuento Linea]]</f>
        <v>195000</v>
      </c>
    </row>
    <row r="819" spans="1:11" x14ac:dyDescent="0.25">
      <c r="A819">
        <v>71</v>
      </c>
      <c r="B819" s="17" t="s">
        <v>255</v>
      </c>
      <c r="C819">
        <v>4</v>
      </c>
      <c r="D819" s="17" t="s">
        <v>12</v>
      </c>
      <c r="E819" s="17" t="s">
        <v>13</v>
      </c>
      <c r="F819" s="17" t="s">
        <v>14</v>
      </c>
      <c r="G819">
        <v>1</v>
      </c>
      <c r="H819">
        <v>280000</v>
      </c>
      <c r="I819">
        <v>190000</v>
      </c>
      <c r="J819">
        <v>0</v>
      </c>
      <c r="K819" s="17">
        <f>(Fact_Ventas_Detalle[[#This Row],[Cantidad]]*Fact_Ventas_Detalle[[#This Row],[Precio Unitario]])-Fact_Ventas_Detalle[[#This Row],[Descuento Linea]]</f>
        <v>280000</v>
      </c>
    </row>
    <row r="820" spans="1:11" x14ac:dyDescent="0.25">
      <c r="A820">
        <v>71</v>
      </c>
      <c r="B820" s="17" t="s">
        <v>256</v>
      </c>
      <c r="C820">
        <v>3</v>
      </c>
      <c r="D820" s="17" t="s">
        <v>12</v>
      </c>
      <c r="E820" s="17" t="s">
        <v>13</v>
      </c>
      <c r="F820" s="17" t="s">
        <v>14</v>
      </c>
      <c r="G820">
        <v>2</v>
      </c>
      <c r="H820">
        <v>280000</v>
      </c>
      <c r="I820">
        <v>190000</v>
      </c>
      <c r="J820">
        <v>56000</v>
      </c>
      <c r="K820" s="17">
        <f>(Fact_Ventas_Detalle[[#This Row],[Cantidad]]*Fact_Ventas_Detalle[[#This Row],[Precio Unitario]])-Fact_Ventas_Detalle[[#This Row],[Descuento Linea]]</f>
        <v>504000</v>
      </c>
    </row>
    <row r="821" spans="1:11" x14ac:dyDescent="0.25">
      <c r="A821">
        <v>71</v>
      </c>
      <c r="B821" s="17" t="s">
        <v>476</v>
      </c>
      <c r="C821">
        <v>3</v>
      </c>
      <c r="D821" s="17" t="s">
        <v>17</v>
      </c>
      <c r="E821" s="17" t="s">
        <v>18</v>
      </c>
      <c r="F821" s="17" t="s">
        <v>19</v>
      </c>
      <c r="G821">
        <v>2</v>
      </c>
      <c r="H821">
        <v>65000</v>
      </c>
      <c r="I821">
        <v>35000</v>
      </c>
      <c r="J821">
        <v>13000</v>
      </c>
      <c r="K821" s="17">
        <f>(Fact_Ventas_Detalle[[#This Row],[Cantidad]]*Fact_Ventas_Detalle[[#This Row],[Precio Unitario]])-Fact_Ventas_Detalle[[#This Row],[Descuento Linea]]</f>
        <v>117000</v>
      </c>
    </row>
    <row r="822" spans="1:11" x14ac:dyDescent="0.25">
      <c r="A822">
        <v>71</v>
      </c>
      <c r="B822" s="17" t="s">
        <v>545</v>
      </c>
      <c r="C822">
        <v>1</v>
      </c>
      <c r="D822" s="17" t="s">
        <v>24</v>
      </c>
      <c r="E822" s="17" t="s">
        <v>25</v>
      </c>
      <c r="F822" s="17" t="s">
        <v>14</v>
      </c>
      <c r="G822">
        <v>2</v>
      </c>
      <c r="H822">
        <v>850000</v>
      </c>
      <c r="I822">
        <v>620000</v>
      </c>
      <c r="J822">
        <v>170000</v>
      </c>
      <c r="K822" s="17">
        <f>(Fact_Ventas_Detalle[[#This Row],[Cantidad]]*Fact_Ventas_Detalle[[#This Row],[Precio Unitario]])-Fact_Ventas_Detalle[[#This Row],[Descuento Linea]]</f>
        <v>1530000</v>
      </c>
    </row>
    <row r="823" spans="1:11" x14ac:dyDescent="0.25">
      <c r="A823">
        <v>71</v>
      </c>
      <c r="B823" s="17" t="s">
        <v>260</v>
      </c>
      <c r="C823">
        <v>1</v>
      </c>
      <c r="D823" s="17" t="s">
        <v>31</v>
      </c>
      <c r="E823" s="17" t="s">
        <v>32</v>
      </c>
      <c r="F823" s="17" t="s">
        <v>33</v>
      </c>
      <c r="G823">
        <v>3</v>
      </c>
      <c r="H823">
        <v>25000</v>
      </c>
      <c r="I823">
        <v>11000</v>
      </c>
      <c r="J823">
        <v>3750</v>
      </c>
      <c r="K823" s="17">
        <f>(Fact_Ventas_Detalle[[#This Row],[Cantidad]]*Fact_Ventas_Detalle[[#This Row],[Precio Unitario]])-Fact_Ventas_Detalle[[#This Row],[Descuento Linea]]</f>
        <v>71250</v>
      </c>
    </row>
    <row r="824" spans="1:11" x14ac:dyDescent="0.25">
      <c r="A824">
        <v>71</v>
      </c>
      <c r="B824" s="17" t="s">
        <v>261</v>
      </c>
      <c r="C824">
        <v>1</v>
      </c>
      <c r="D824" s="17" t="s">
        <v>31</v>
      </c>
      <c r="E824" s="17" t="s">
        <v>32</v>
      </c>
      <c r="F824" s="17" t="s">
        <v>33</v>
      </c>
      <c r="G824">
        <v>3</v>
      </c>
      <c r="H824">
        <v>25000</v>
      </c>
      <c r="I824">
        <v>11000</v>
      </c>
      <c r="J824">
        <v>7500</v>
      </c>
      <c r="K824" s="17">
        <f>(Fact_Ventas_Detalle[[#This Row],[Cantidad]]*Fact_Ventas_Detalle[[#This Row],[Precio Unitario]])-Fact_Ventas_Detalle[[#This Row],[Descuento Linea]]</f>
        <v>67500</v>
      </c>
    </row>
    <row r="825" spans="1:11" x14ac:dyDescent="0.25">
      <c r="A825">
        <v>71</v>
      </c>
      <c r="B825" s="17" t="s">
        <v>259</v>
      </c>
      <c r="C825">
        <v>1</v>
      </c>
      <c r="D825" s="17" t="s">
        <v>17</v>
      </c>
      <c r="E825" s="17" t="s">
        <v>18</v>
      </c>
      <c r="F825" s="17" t="s">
        <v>19</v>
      </c>
      <c r="G825">
        <v>1</v>
      </c>
      <c r="H825">
        <v>65000</v>
      </c>
      <c r="I825">
        <v>35000</v>
      </c>
      <c r="J825">
        <v>6500</v>
      </c>
      <c r="K825" s="17">
        <f>(Fact_Ventas_Detalle[[#This Row],[Cantidad]]*Fact_Ventas_Detalle[[#This Row],[Precio Unitario]])-Fact_Ventas_Detalle[[#This Row],[Descuento Linea]]</f>
        <v>58500</v>
      </c>
    </row>
    <row r="826" spans="1:11" x14ac:dyDescent="0.25">
      <c r="A826">
        <v>72</v>
      </c>
      <c r="B826" s="17" t="s">
        <v>262</v>
      </c>
      <c r="C826">
        <v>1</v>
      </c>
      <c r="D826" s="17" t="s">
        <v>37</v>
      </c>
      <c r="E826" s="17" t="s">
        <v>38</v>
      </c>
      <c r="F826" s="17" t="s">
        <v>33</v>
      </c>
      <c r="G826">
        <v>3</v>
      </c>
      <c r="H826">
        <v>45000</v>
      </c>
      <c r="I826">
        <v>22000</v>
      </c>
      <c r="J826">
        <v>0</v>
      </c>
      <c r="K826" s="17">
        <f>(Fact_Ventas_Detalle[[#This Row],[Cantidad]]*Fact_Ventas_Detalle[[#This Row],[Precio Unitario]])-Fact_Ventas_Detalle[[#This Row],[Descuento Linea]]</f>
        <v>135000</v>
      </c>
    </row>
    <row r="827" spans="1:11" x14ac:dyDescent="0.25">
      <c r="A827">
        <v>72</v>
      </c>
      <c r="B827" s="17" t="s">
        <v>263</v>
      </c>
      <c r="C827">
        <v>1</v>
      </c>
      <c r="D827" s="17" t="s">
        <v>17</v>
      </c>
      <c r="E827" s="17" t="s">
        <v>18</v>
      </c>
      <c r="F827" s="17" t="s">
        <v>19</v>
      </c>
      <c r="G827">
        <v>2</v>
      </c>
      <c r="H827">
        <v>65000</v>
      </c>
      <c r="I827">
        <v>35000</v>
      </c>
      <c r="J827">
        <v>0</v>
      </c>
      <c r="K827" s="17">
        <f>(Fact_Ventas_Detalle[[#This Row],[Cantidad]]*Fact_Ventas_Detalle[[#This Row],[Precio Unitario]])-Fact_Ventas_Detalle[[#This Row],[Descuento Linea]]</f>
        <v>130000</v>
      </c>
    </row>
    <row r="828" spans="1:11" x14ac:dyDescent="0.25">
      <c r="A828">
        <v>72</v>
      </c>
      <c r="B828" s="17" t="s">
        <v>839</v>
      </c>
      <c r="C828">
        <v>1</v>
      </c>
      <c r="D828" s="17" t="s">
        <v>27</v>
      </c>
      <c r="E828" s="17" t="s">
        <v>28</v>
      </c>
      <c r="F828" s="17" t="s">
        <v>29</v>
      </c>
      <c r="G828">
        <v>1</v>
      </c>
      <c r="H828">
        <v>240000</v>
      </c>
      <c r="I828">
        <v>150000</v>
      </c>
      <c r="J828">
        <v>0</v>
      </c>
      <c r="K828" s="17">
        <f>(Fact_Ventas_Detalle[[#This Row],[Cantidad]]*Fact_Ventas_Detalle[[#This Row],[Precio Unitario]])-Fact_Ventas_Detalle[[#This Row],[Descuento Linea]]</f>
        <v>240000</v>
      </c>
    </row>
    <row r="829" spans="1:11" x14ac:dyDescent="0.25">
      <c r="A829">
        <v>72</v>
      </c>
      <c r="B829" s="17" t="s">
        <v>260</v>
      </c>
      <c r="C829">
        <v>2</v>
      </c>
      <c r="D829" s="17" t="s">
        <v>27</v>
      </c>
      <c r="E829" s="17" t="s">
        <v>28</v>
      </c>
      <c r="F829" s="17" t="s">
        <v>29</v>
      </c>
      <c r="G829">
        <v>1</v>
      </c>
      <c r="H829">
        <v>240000</v>
      </c>
      <c r="I829">
        <v>150000</v>
      </c>
      <c r="J829">
        <v>0</v>
      </c>
      <c r="K829" s="17">
        <f>(Fact_Ventas_Detalle[[#This Row],[Cantidad]]*Fact_Ventas_Detalle[[#This Row],[Precio Unitario]])-Fact_Ventas_Detalle[[#This Row],[Descuento Linea]]</f>
        <v>240000</v>
      </c>
    </row>
    <row r="830" spans="1:11" x14ac:dyDescent="0.25">
      <c r="A830">
        <v>72</v>
      </c>
      <c r="B830" s="17" t="s">
        <v>261</v>
      </c>
      <c r="C830">
        <v>2</v>
      </c>
      <c r="D830" s="17" t="s">
        <v>42</v>
      </c>
      <c r="E830" s="17" t="s">
        <v>43</v>
      </c>
      <c r="F830" s="17" t="s">
        <v>29</v>
      </c>
      <c r="G830">
        <v>1</v>
      </c>
      <c r="H830">
        <v>185000</v>
      </c>
      <c r="I830">
        <v>115000</v>
      </c>
      <c r="J830">
        <v>0</v>
      </c>
      <c r="K830" s="17">
        <f>(Fact_Ventas_Detalle[[#This Row],[Cantidad]]*Fact_Ventas_Detalle[[#This Row],[Precio Unitario]])-Fact_Ventas_Detalle[[#This Row],[Descuento Linea]]</f>
        <v>185000</v>
      </c>
    </row>
    <row r="831" spans="1:11" x14ac:dyDescent="0.25">
      <c r="A831">
        <v>72</v>
      </c>
      <c r="B831" s="17" t="s">
        <v>559</v>
      </c>
      <c r="C831">
        <v>3</v>
      </c>
      <c r="D831" s="17" t="s">
        <v>12</v>
      </c>
      <c r="E831" s="17" t="s">
        <v>13</v>
      </c>
      <c r="F831" s="17" t="s">
        <v>14</v>
      </c>
      <c r="G831">
        <v>2</v>
      </c>
      <c r="H831">
        <v>280000</v>
      </c>
      <c r="I831">
        <v>190000</v>
      </c>
      <c r="J831">
        <v>0</v>
      </c>
      <c r="K831" s="17">
        <f>(Fact_Ventas_Detalle[[#This Row],[Cantidad]]*Fact_Ventas_Detalle[[#This Row],[Precio Unitario]])-Fact_Ventas_Detalle[[#This Row],[Descuento Linea]]</f>
        <v>560000</v>
      </c>
    </row>
    <row r="832" spans="1:11" x14ac:dyDescent="0.25">
      <c r="A832">
        <v>72</v>
      </c>
      <c r="B832" s="17" t="s">
        <v>259</v>
      </c>
      <c r="C832">
        <v>2</v>
      </c>
      <c r="D832" s="17" t="s">
        <v>39</v>
      </c>
      <c r="E832" s="17" t="s">
        <v>40</v>
      </c>
      <c r="F832" s="17" t="s">
        <v>14</v>
      </c>
      <c r="G832">
        <v>1</v>
      </c>
      <c r="H832">
        <v>75000</v>
      </c>
      <c r="I832">
        <v>42000</v>
      </c>
      <c r="J832">
        <v>7500</v>
      </c>
      <c r="K832" s="17">
        <f>(Fact_Ventas_Detalle[[#This Row],[Cantidad]]*Fact_Ventas_Detalle[[#This Row],[Precio Unitario]])-Fact_Ventas_Detalle[[#This Row],[Descuento Linea]]</f>
        <v>67500</v>
      </c>
    </row>
    <row r="833" spans="1:11" x14ac:dyDescent="0.25">
      <c r="A833">
        <v>72</v>
      </c>
      <c r="B833" s="17" t="s">
        <v>434</v>
      </c>
      <c r="C833">
        <v>1</v>
      </c>
      <c r="D833" s="17" t="s">
        <v>27</v>
      </c>
      <c r="E833" s="17" t="s">
        <v>28</v>
      </c>
      <c r="F833" s="17" t="s">
        <v>29</v>
      </c>
      <c r="G833">
        <v>3</v>
      </c>
      <c r="H833">
        <v>240000</v>
      </c>
      <c r="I833">
        <v>150000</v>
      </c>
      <c r="J833">
        <v>36000</v>
      </c>
      <c r="K833" s="17">
        <f>(Fact_Ventas_Detalle[[#This Row],[Cantidad]]*Fact_Ventas_Detalle[[#This Row],[Precio Unitario]])-Fact_Ventas_Detalle[[#This Row],[Descuento Linea]]</f>
        <v>684000</v>
      </c>
    </row>
    <row r="834" spans="1:11" x14ac:dyDescent="0.25">
      <c r="A834">
        <v>72</v>
      </c>
      <c r="B834" s="17" t="s">
        <v>264</v>
      </c>
      <c r="C834">
        <v>1</v>
      </c>
      <c r="D834" s="17" t="s">
        <v>42</v>
      </c>
      <c r="E834" s="17" t="s">
        <v>43</v>
      </c>
      <c r="F834" s="17" t="s">
        <v>29</v>
      </c>
      <c r="G834">
        <v>1</v>
      </c>
      <c r="H834">
        <v>185000</v>
      </c>
      <c r="I834">
        <v>115000</v>
      </c>
      <c r="J834">
        <v>18500</v>
      </c>
      <c r="K834" s="17">
        <f>(Fact_Ventas_Detalle[[#This Row],[Cantidad]]*Fact_Ventas_Detalle[[#This Row],[Precio Unitario]])-Fact_Ventas_Detalle[[#This Row],[Descuento Linea]]</f>
        <v>166500</v>
      </c>
    </row>
    <row r="835" spans="1:11" x14ac:dyDescent="0.25">
      <c r="A835">
        <v>73</v>
      </c>
      <c r="B835" s="17" t="s">
        <v>726</v>
      </c>
      <c r="C835">
        <v>1</v>
      </c>
      <c r="D835" s="17" t="s">
        <v>31</v>
      </c>
      <c r="E835" s="17" t="s">
        <v>32</v>
      </c>
      <c r="F835" s="17" t="s">
        <v>33</v>
      </c>
      <c r="G835">
        <v>3</v>
      </c>
      <c r="H835">
        <v>25000</v>
      </c>
      <c r="I835">
        <v>11000</v>
      </c>
      <c r="J835">
        <v>0</v>
      </c>
      <c r="K835" s="17">
        <f>(Fact_Ventas_Detalle[[#This Row],[Cantidad]]*Fact_Ventas_Detalle[[#This Row],[Precio Unitario]])-Fact_Ventas_Detalle[[#This Row],[Descuento Linea]]</f>
        <v>75000</v>
      </c>
    </row>
    <row r="836" spans="1:11" x14ac:dyDescent="0.25">
      <c r="A836">
        <v>73</v>
      </c>
      <c r="B836" s="17" t="s">
        <v>634</v>
      </c>
      <c r="C836">
        <v>1</v>
      </c>
      <c r="D836" s="17" t="s">
        <v>17</v>
      </c>
      <c r="E836" s="17" t="s">
        <v>18</v>
      </c>
      <c r="F836" s="17" t="s">
        <v>19</v>
      </c>
      <c r="G836">
        <v>1</v>
      </c>
      <c r="H836">
        <v>65000</v>
      </c>
      <c r="I836">
        <v>35000</v>
      </c>
      <c r="J836">
        <v>0</v>
      </c>
      <c r="K836" s="17">
        <f>(Fact_Ventas_Detalle[[#This Row],[Cantidad]]*Fact_Ventas_Detalle[[#This Row],[Precio Unitario]])-Fact_Ventas_Detalle[[#This Row],[Descuento Linea]]</f>
        <v>65000</v>
      </c>
    </row>
    <row r="837" spans="1:11" x14ac:dyDescent="0.25">
      <c r="A837">
        <v>73</v>
      </c>
      <c r="B837" s="17" t="s">
        <v>262</v>
      </c>
      <c r="C837">
        <v>2</v>
      </c>
      <c r="D837" s="17" t="s">
        <v>24</v>
      </c>
      <c r="E837" s="17" t="s">
        <v>25</v>
      </c>
      <c r="F837" s="17" t="s">
        <v>14</v>
      </c>
      <c r="G837">
        <v>3</v>
      </c>
      <c r="H837">
        <v>850000</v>
      </c>
      <c r="I837">
        <v>620000</v>
      </c>
      <c r="J837">
        <v>0</v>
      </c>
      <c r="K837" s="17">
        <f>(Fact_Ventas_Detalle[[#This Row],[Cantidad]]*Fact_Ventas_Detalle[[#This Row],[Precio Unitario]])-Fact_Ventas_Detalle[[#This Row],[Descuento Linea]]</f>
        <v>2550000</v>
      </c>
    </row>
    <row r="838" spans="1:11" x14ac:dyDescent="0.25">
      <c r="A838">
        <v>73</v>
      </c>
      <c r="B838" s="17" t="s">
        <v>263</v>
      </c>
      <c r="C838">
        <v>2</v>
      </c>
      <c r="D838" s="17" t="s">
        <v>12</v>
      </c>
      <c r="E838" s="17" t="s">
        <v>13</v>
      </c>
      <c r="F838" s="17" t="s">
        <v>14</v>
      </c>
      <c r="G838">
        <v>1</v>
      </c>
      <c r="H838">
        <v>280000</v>
      </c>
      <c r="I838">
        <v>190000</v>
      </c>
      <c r="J838">
        <v>0</v>
      </c>
      <c r="K838" s="17">
        <f>(Fact_Ventas_Detalle[[#This Row],[Cantidad]]*Fact_Ventas_Detalle[[#This Row],[Precio Unitario]])-Fact_Ventas_Detalle[[#This Row],[Descuento Linea]]</f>
        <v>280000</v>
      </c>
    </row>
    <row r="839" spans="1:11" x14ac:dyDescent="0.25">
      <c r="A839">
        <v>73</v>
      </c>
      <c r="B839" s="17" t="s">
        <v>259</v>
      </c>
      <c r="C839">
        <v>3</v>
      </c>
      <c r="D839" s="17" t="s">
        <v>42</v>
      </c>
      <c r="E839" s="17" t="s">
        <v>43</v>
      </c>
      <c r="F839" s="17" t="s">
        <v>29</v>
      </c>
      <c r="G839">
        <v>2</v>
      </c>
      <c r="H839">
        <v>185000</v>
      </c>
      <c r="I839">
        <v>115000</v>
      </c>
      <c r="J839">
        <v>18500</v>
      </c>
      <c r="K839" s="17">
        <f>(Fact_Ventas_Detalle[[#This Row],[Cantidad]]*Fact_Ventas_Detalle[[#This Row],[Precio Unitario]])-Fact_Ventas_Detalle[[#This Row],[Descuento Linea]]</f>
        <v>351500</v>
      </c>
    </row>
    <row r="840" spans="1:11" x14ac:dyDescent="0.25">
      <c r="A840">
        <v>73</v>
      </c>
      <c r="B840" s="17" t="s">
        <v>261</v>
      </c>
      <c r="C840">
        <v>3</v>
      </c>
      <c r="D840" s="17" t="s">
        <v>42</v>
      </c>
      <c r="E840" s="17" t="s">
        <v>43</v>
      </c>
      <c r="F840" s="17" t="s">
        <v>29</v>
      </c>
      <c r="G840">
        <v>3</v>
      </c>
      <c r="H840">
        <v>185000</v>
      </c>
      <c r="I840">
        <v>115000</v>
      </c>
      <c r="J840">
        <v>27750</v>
      </c>
      <c r="K840" s="17">
        <f>(Fact_Ventas_Detalle[[#This Row],[Cantidad]]*Fact_Ventas_Detalle[[#This Row],[Precio Unitario]])-Fact_Ventas_Detalle[[#This Row],[Descuento Linea]]</f>
        <v>527250</v>
      </c>
    </row>
    <row r="841" spans="1:11" x14ac:dyDescent="0.25">
      <c r="A841">
        <v>73</v>
      </c>
      <c r="B841" s="17" t="s">
        <v>264</v>
      </c>
      <c r="C841">
        <v>2</v>
      </c>
      <c r="D841" s="17" t="s">
        <v>12</v>
      </c>
      <c r="E841" s="17" t="s">
        <v>13</v>
      </c>
      <c r="F841" s="17" t="s">
        <v>14</v>
      </c>
      <c r="G841">
        <v>1</v>
      </c>
      <c r="H841">
        <v>280000</v>
      </c>
      <c r="I841">
        <v>190000</v>
      </c>
      <c r="J841">
        <v>28000</v>
      </c>
      <c r="K841" s="17">
        <f>(Fact_Ventas_Detalle[[#This Row],[Cantidad]]*Fact_Ventas_Detalle[[#This Row],[Precio Unitario]])-Fact_Ventas_Detalle[[#This Row],[Descuento Linea]]</f>
        <v>252000</v>
      </c>
    </row>
    <row r="842" spans="1:11" x14ac:dyDescent="0.25">
      <c r="A842">
        <v>73</v>
      </c>
      <c r="B842" s="17" t="s">
        <v>434</v>
      </c>
      <c r="C842">
        <v>2</v>
      </c>
      <c r="D842" s="17" t="s">
        <v>42</v>
      </c>
      <c r="E842" s="17" t="s">
        <v>43</v>
      </c>
      <c r="F842" s="17" t="s">
        <v>29</v>
      </c>
      <c r="G842">
        <v>3</v>
      </c>
      <c r="H842">
        <v>185000</v>
      </c>
      <c r="I842">
        <v>115000</v>
      </c>
      <c r="J842">
        <v>55500</v>
      </c>
      <c r="K842" s="17">
        <f>(Fact_Ventas_Detalle[[#This Row],[Cantidad]]*Fact_Ventas_Detalle[[#This Row],[Precio Unitario]])-Fact_Ventas_Detalle[[#This Row],[Descuento Linea]]</f>
        <v>499500</v>
      </c>
    </row>
    <row r="843" spans="1:11" x14ac:dyDescent="0.25">
      <c r="A843">
        <v>73</v>
      </c>
      <c r="B843" s="17" t="s">
        <v>265</v>
      </c>
      <c r="C843">
        <v>1</v>
      </c>
      <c r="D843" s="17" t="s">
        <v>37</v>
      </c>
      <c r="E843" s="17" t="s">
        <v>38</v>
      </c>
      <c r="F843" s="17" t="s">
        <v>33</v>
      </c>
      <c r="G843">
        <v>1</v>
      </c>
      <c r="H843">
        <v>45000</v>
      </c>
      <c r="I843">
        <v>22000</v>
      </c>
      <c r="J843">
        <v>4500</v>
      </c>
      <c r="K843" s="17">
        <f>(Fact_Ventas_Detalle[[#This Row],[Cantidad]]*Fact_Ventas_Detalle[[#This Row],[Precio Unitario]])-Fact_Ventas_Detalle[[#This Row],[Descuento Linea]]</f>
        <v>40500</v>
      </c>
    </row>
    <row r="844" spans="1:11" x14ac:dyDescent="0.25">
      <c r="A844">
        <v>74</v>
      </c>
      <c r="B844" s="17" t="s">
        <v>634</v>
      </c>
      <c r="C844">
        <v>2</v>
      </c>
      <c r="D844" s="17" t="s">
        <v>24</v>
      </c>
      <c r="E844" s="17" t="s">
        <v>25</v>
      </c>
      <c r="F844" s="17" t="s">
        <v>14</v>
      </c>
      <c r="G844">
        <v>2</v>
      </c>
      <c r="H844">
        <v>850000</v>
      </c>
      <c r="I844">
        <v>620000</v>
      </c>
      <c r="J844">
        <v>0</v>
      </c>
      <c r="K844" s="17">
        <f>(Fact_Ventas_Detalle[[#This Row],[Cantidad]]*Fact_Ventas_Detalle[[#This Row],[Precio Unitario]])-Fact_Ventas_Detalle[[#This Row],[Descuento Linea]]</f>
        <v>1700000</v>
      </c>
    </row>
    <row r="845" spans="1:11" x14ac:dyDescent="0.25">
      <c r="A845">
        <v>74</v>
      </c>
      <c r="B845" s="17" t="s">
        <v>264</v>
      </c>
      <c r="C845">
        <v>3</v>
      </c>
      <c r="D845" s="17" t="s">
        <v>27</v>
      </c>
      <c r="E845" s="17" t="s">
        <v>28</v>
      </c>
      <c r="F845" s="17" t="s">
        <v>29</v>
      </c>
      <c r="G845">
        <v>3</v>
      </c>
      <c r="H845">
        <v>240000</v>
      </c>
      <c r="I845">
        <v>150000</v>
      </c>
      <c r="J845">
        <v>0</v>
      </c>
      <c r="K845" s="17">
        <f>(Fact_Ventas_Detalle[[#This Row],[Cantidad]]*Fact_Ventas_Detalle[[#This Row],[Precio Unitario]])-Fact_Ventas_Detalle[[#This Row],[Descuento Linea]]</f>
        <v>720000</v>
      </c>
    </row>
    <row r="846" spans="1:11" x14ac:dyDescent="0.25">
      <c r="A846">
        <v>74</v>
      </c>
      <c r="B846" s="17" t="s">
        <v>263</v>
      </c>
      <c r="C846">
        <v>3</v>
      </c>
      <c r="D846" s="17" t="s">
        <v>27</v>
      </c>
      <c r="E846" s="17" t="s">
        <v>28</v>
      </c>
      <c r="F846" s="17" t="s">
        <v>29</v>
      </c>
      <c r="G846">
        <v>3</v>
      </c>
      <c r="H846">
        <v>240000</v>
      </c>
      <c r="I846">
        <v>150000</v>
      </c>
      <c r="J846">
        <v>0</v>
      </c>
      <c r="K846" s="17">
        <f>(Fact_Ventas_Detalle[[#This Row],[Cantidad]]*Fact_Ventas_Detalle[[#This Row],[Precio Unitario]])-Fact_Ventas_Detalle[[#This Row],[Descuento Linea]]</f>
        <v>720000</v>
      </c>
    </row>
    <row r="847" spans="1:11" x14ac:dyDescent="0.25">
      <c r="A847">
        <v>74</v>
      </c>
      <c r="B847" s="17" t="s">
        <v>259</v>
      </c>
      <c r="C847">
        <v>4</v>
      </c>
      <c r="D847" s="17" t="s">
        <v>42</v>
      </c>
      <c r="E847" s="17" t="s">
        <v>43</v>
      </c>
      <c r="F847" s="17" t="s">
        <v>29</v>
      </c>
      <c r="G847">
        <v>3</v>
      </c>
      <c r="H847">
        <v>185000</v>
      </c>
      <c r="I847">
        <v>115000</v>
      </c>
      <c r="J847">
        <v>0</v>
      </c>
      <c r="K847" s="17">
        <f>(Fact_Ventas_Detalle[[#This Row],[Cantidad]]*Fact_Ventas_Detalle[[#This Row],[Precio Unitario]])-Fact_Ventas_Detalle[[#This Row],[Descuento Linea]]</f>
        <v>555000</v>
      </c>
    </row>
    <row r="848" spans="1:11" x14ac:dyDescent="0.25">
      <c r="A848">
        <v>74</v>
      </c>
      <c r="B848" s="17" t="s">
        <v>261</v>
      </c>
      <c r="C848">
        <v>4</v>
      </c>
      <c r="D848" s="17" t="s">
        <v>39</v>
      </c>
      <c r="E848" s="17" t="s">
        <v>40</v>
      </c>
      <c r="F848" s="17" t="s">
        <v>14</v>
      </c>
      <c r="G848">
        <v>2</v>
      </c>
      <c r="H848">
        <v>75000</v>
      </c>
      <c r="I848">
        <v>42000</v>
      </c>
      <c r="J848">
        <v>0</v>
      </c>
      <c r="K848" s="17">
        <f>(Fact_Ventas_Detalle[[#This Row],[Cantidad]]*Fact_Ventas_Detalle[[#This Row],[Precio Unitario]])-Fact_Ventas_Detalle[[#This Row],[Descuento Linea]]</f>
        <v>150000</v>
      </c>
    </row>
    <row r="849" spans="1:11" x14ac:dyDescent="0.25">
      <c r="A849">
        <v>74</v>
      </c>
      <c r="B849" s="17" t="s">
        <v>262</v>
      </c>
      <c r="C849">
        <v>3</v>
      </c>
      <c r="D849" s="17" t="s">
        <v>31</v>
      </c>
      <c r="E849" s="17" t="s">
        <v>32</v>
      </c>
      <c r="F849" s="17" t="s">
        <v>33</v>
      </c>
      <c r="G849">
        <v>1</v>
      </c>
      <c r="H849">
        <v>25000</v>
      </c>
      <c r="I849">
        <v>11000</v>
      </c>
      <c r="J849">
        <v>2500</v>
      </c>
      <c r="K849" s="17">
        <f>(Fact_Ventas_Detalle[[#This Row],[Cantidad]]*Fact_Ventas_Detalle[[#This Row],[Precio Unitario]])-Fact_Ventas_Detalle[[#This Row],[Descuento Linea]]</f>
        <v>22500</v>
      </c>
    </row>
    <row r="850" spans="1:11" x14ac:dyDescent="0.25">
      <c r="A850">
        <v>74</v>
      </c>
      <c r="B850" s="17" t="s">
        <v>265</v>
      </c>
      <c r="C850">
        <v>2</v>
      </c>
      <c r="D850" s="17" t="s">
        <v>37</v>
      </c>
      <c r="E850" s="17" t="s">
        <v>38</v>
      </c>
      <c r="F850" s="17" t="s">
        <v>33</v>
      </c>
      <c r="G850">
        <v>2</v>
      </c>
      <c r="H850">
        <v>45000</v>
      </c>
      <c r="I850">
        <v>22000</v>
      </c>
      <c r="J850">
        <v>4500</v>
      </c>
      <c r="K850" s="17">
        <f>(Fact_Ventas_Detalle[[#This Row],[Cantidad]]*Fact_Ventas_Detalle[[#This Row],[Precio Unitario]])-Fact_Ventas_Detalle[[#This Row],[Descuento Linea]]</f>
        <v>85500</v>
      </c>
    </row>
    <row r="851" spans="1:11" x14ac:dyDescent="0.25">
      <c r="A851">
        <v>74</v>
      </c>
      <c r="B851" s="17" t="s">
        <v>726</v>
      </c>
      <c r="C851">
        <v>2</v>
      </c>
      <c r="D851" s="17" t="s">
        <v>37</v>
      </c>
      <c r="E851" s="17" t="s">
        <v>38</v>
      </c>
      <c r="F851" s="17" t="s">
        <v>33</v>
      </c>
      <c r="G851">
        <v>2</v>
      </c>
      <c r="H851">
        <v>45000</v>
      </c>
      <c r="I851">
        <v>22000</v>
      </c>
      <c r="J851">
        <v>4500</v>
      </c>
      <c r="K851" s="17">
        <f>(Fact_Ventas_Detalle[[#This Row],[Cantidad]]*Fact_Ventas_Detalle[[#This Row],[Precio Unitario]])-Fact_Ventas_Detalle[[#This Row],[Descuento Linea]]</f>
        <v>85500</v>
      </c>
    </row>
    <row r="852" spans="1:11" x14ac:dyDescent="0.25">
      <c r="A852">
        <v>74</v>
      </c>
      <c r="B852" s="17" t="s">
        <v>706</v>
      </c>
      <c r="C852">
        <v>1</v>
      </c>
      <c r="D852" s="17" t="s">
        <v>24</v>
      </c>
      <c r="E852" s="17" t="s">
        <v>25</v>
      </c>
      <c r="F852" s="17" t="s">
        <v>14</v>
      </c>
      <c r="G852">
        <v>3</v>
      </c>
      <c r="H852">
        <v>850000</v>
      </c>
      <c r="I852">
        <v>620000</v>
      </c>
      <c r="J852">
        <v>127500</v>
      </c>
      <c r="K852" s="17">
        <f>(Fact_Ventas_Detalle[[#This Row],[Cantidad]]*Fact_Ventas_Detalle[[#This Row],[Precio Unitario]])-Fact_Ventas_Detalle[[#This Row],[Descuento Linea]]</f>
        <v>2422500</v>
      </c>
    </row>
    <row r="853" spans="1:11" x14ac:dyDescent="0.25">
      <c r="A853">
        <v>75</v>
      </c>
      <c r="B853" s="17" t="s">
        <v>708</v>
      </c>
      <c r="C853">
        <v>1</v>
      </c>
      <c r="D853" s="17" t="s">
        <v>37</v>
      </c>
      <c r="E853" s="17" t="s">
        <v>38</v>
      </c>
      <c r="F853" s="17" t="s">
        <v>33</v>
      </c>
      <c r="G853">
        <v>2</v>
      </c>
      <c r="H853">
        <v>45000</v>
      </c>
      <c r="I853">
        <v>22000</v>
      </c>
      <c r="J853">
        <v>0</v>
      </c>
      <c r="K853" s="17">
        <f>(Fact_Ventas_Detalle[[#This Row],[Cantidad]]*Fact_Ventas_Detalle[[#This Row],[Precio Unitario]])-Fact_Ventas_Detalle[[#This Row],[Descuento Linea]]</f>
        <v>90000</v>
      </c>
    </row>
    <row r="854" spans="1:11" x14ac:dyDescent="0.25">
      <c r="A854">
        <v>75</v>
      </c>
      <c r="B854" s="17" t="s">
        <v>726</v>
      </c>
      <c r="C854">
        <v>3</v>
      </c>
      <c r="D854" s="17" t="s">
        <v>39</v>
      </c>
      <c r="E854" s="17" t="s">
        <v>40</v>
      </c>
      <c r="F854" s="17" t="s">
        <v>14</v>
      </c>
      <c r="G854">
        <v>2</v>
      </c>
      <c r="H854">
        <v>75000</v>
      </c>
      <c r="I854">
        <v>42000</v>
      </c>
      <c r="J854">
        <v>0</v>
      </c>
      <c r="K854" s="17">
        <f>(Fact_Ventas_Detalle[[#This Row],[Cantidad]]*Fact_Ventas_Detalle[[#This Row],[Precio Unitario]])-Fact_Ventas_Detalle[[#This Row],[Descuento Linea]]</f>
        <v>150000</v>
      </c>
    </row>
    <row r="855" spans="1:11" x14ac:dyDescent="0.25">
      <c r="A855">
        <v>75</v>
      </c>
      <c r="B855" s="17" t="s">
        <v>634</v>
      </c>
      <c r="C855">
        <v>3</v>
      </c>
      <c r="D855" s="17" t="s">
        <v>42</v>
      </c>
      <c r="E855" s="17" t="s">
        <v>43</v>
      </c>
      <c r="F855" s="17" t="s">
        <v>29</v>
      </c>
      <c r="G855">
        <v>1</v>
      </c>
      <c r="H855">
        <v>185000</v>
      </c>
      <c r="I855">
        <v>115000</v>
      </c>
      <c r="J855">
        <v>0</v>
      </c>
      <c r="K855" s="17">
        <f>(Fact_Ventas_Detalle[[#This Row],[Cantidad]]*Fact_Ventas_Detalle[[#This Row],[Precio Unitario]])-Fact_Ventas_Detalle[[#This Row],[Descuento Linea]]</f>
        <v>185000</v>
      </c>
    </row>
    <row r="856" spans="1:11" x14ac:dyDescent="0.25">
      <c r="A856">
        <v>75</v>
      </c>
      <c r="B856" s="17" t="s">
        <v>262</v>
      </c>
      <c r="C856">
        <v>4</v>
      </c>
      <c r="D856" s="17" t="s">
        <v>42</v>
      </c>
      <c r="E856" s="17" t="s">
        <v>43</v>
      </c>
      <c r="F856" s="17" t="s">
        <v>29</v>
      </c>
      <c r="G856">
        <v>2</v>
      </c>
      <c r="H856">
        <v>185000</v>
      </c>
      <c r="I856">
        <v>115000</v>
      </c>
      <c r="J856">
        <v>0</v>
      </c>
      <c r="K856" s="17">
        <f>(Fact_Ventas_Detalle[[#This Row],[Cantidad]]*Fact_Ventas_Detalle[[#This Row],[Precio Unitario]])-Fact_Ventas_Detalle[[#This Row],[Descuento Linea]]</f>
        <v>370000</v>
      </c>
    </row>
    <row r="857" spans="1:11" x14ac:dyDescent="0.25">
      <c r="A857">
        <v>75</v>
      </c>
      <c r="B857" s="17" t="s">
        <v>264</v>
      </c>
      <c r="C857">
        <v>4</v>
      </c>
      <c r="D857" s="17" t="s">
        <v>27</v>
      </c>
      <c r="E857" s="17" t="s">
        <v>28</v>
      </c>
      <c r="F857" s="17" t="s">
        <v>29</v>
      </c>
      <c r="G857">
        <v>2</v>
      </c>
      <c r="H857">
        <v>240000</v>
      </c>
      <c r="I857">
        <v>150000</v>
      </c>
      <c r="J857">
        <v>24000</v>
      </c>
      <c r="K857" s="17">
        <f>(Fact_Ventas_Detalle[[#This Row],[Cantidad]]*Fact_Ventas_Detalle[[#This Row],[Precio Unitario]])-Fact_Ventas_Detalle[[#This Row],[Descuento Linea]]</f>
        <v>456000</v>
      </c>
    </row>
    <row r="858" spans="1:11" x14ac:dyDescent="0.25">
      <c r="A858">
        <v>75</v>
      </c>
      <c r="B858" s="17" t="s">
        <v>266</v>
      </c>
      <c r="C858">
        <v>1</v>
      </c>
      <c r="D858" s="17" t="s">
        <v>12</v>
      </c>
      <c r="E858" s="17" t="s">
        <v>13</v>
      </c>
      <c r="F858" s="17" t="s">
        <v>14</v>
      </c>
      <c r="G858">
        <v>2</v>
      </c>
      <c r="H858">
        <v>280000</v>
      </c>
      <c r="I858">
        <v>190000</v>
      </c>
      <c r="J858">
        <v>28000</v>
      </c>
      <c r="K858" s="17">
        <f>(Fact_Ventas_Detalle[[#This Row],[Cantidad]]*Fact_Ventas_Detalle[[#This Row],[Precio Unitario]])-Fact_Ventas_Detalle[[#This Row],[Descuento Linea]]</f>
        <v>532000</v>
      </c>
    </row>
    <row r="859" spans="1:11" x14ac:dyDescent="0.25">
      <c r="A859">
        <v>75</v>
      </c>
      <c r="B859" s="17" t="s">
        <v>267</v>
      </c>
      <c r="C859">
        <v>1</v>
      </c>
      <c r="D859" s="17" t="s">
        <v>12</v>
      </c>
      <c r="E859" s="17" t="s">
        <v>13</v>
      </c>
      <c r="F859" s="17" t="s">
        <v>14</v>
      </c>
      <c r="G859">
        <v>2</v>
      </c>
      <c r="H859">
        <v>280000</v>
      </c>
      <c r="I859">
        <v>190000</v>
      </c>
      <c r="J859">
        <v>28000</v>
      </c>
      <c r="K859" s="17">
        <f>(Fact_Ventas_Detalle[[#This Row],[Cantidad]]*Fact_Ventas_Detalle[[#This Row],[Precio Unitario]])-Fact_Ventas_Detalle[[#This Row],[Descuento Linea]]</f>
        <v>532000</v>
      </c>
    </row>
    <row r="860" spans="1:11" x14ac:dyDescent="0.25">
      <c r="A860">
        <v>75</v>
      </c>
      <c r="B860" s="17" t="s">
        <v>268</v>
      </c>
      <c r="C860">
        <v>1</v>
      </c>
      <c r="D860" s="17" t="s">
        <v>42</v>
      </c>
      <c r="E860" s="17" t="s">
        <v>43</v>
      </c>
      <c r="F860" s="17" t="s">
        <v>29</v>
      </c>
      <c r="G860">
        <v>2</v>
      </c>
      <c r="H860">
        <v>185000</v>
      </c>
      <c r="I860">
        <v>115000</v>
      </c>
      <c r="J860">
        <v>18500</v>
      </c>
      <c r="K860" s="17">
        <f>(Fact_Ventas_Detalle[[#This Row],[Cantidad]]*Fact_Ventas_Detalle[[#This Row],[Precio Unitario]])-Fact_Ventas_Detalle[[#This Row],[Descuento Linea]]</f>
        <v>351500</v>
      </c>
    </row>
    <row r="861" spans="1:11" x14ac:dyDescent="0.25">
      <c r="A861">
        <v>76</v>
      </c>
      <c r="B861" s="17" t="s">
        <v>269</v>
      </c>
      <c r="C861">
        <v>1</v>
      </c>
      <c r="D861" s="17" t="s">
        <v>12</v>
      </c>
      <c r="E861" s="17" t="s">
        <v>13</v>
      </c>
      <c r="F861" s="17" t="s">
        <v>14</v>
      </c>
      <c r="G861">
        <v>2</v>
      </c>
      <c r="H861">
        <v>280000</v>
      </c>
      <c r="I861">
        <v>190000</v>
      </c>
      <c r="J861">
        <v>0</v>
      </c>
      <c r="K861" s="17">
        <f>(Fact_Ventas_Detalle[[#This Row],[Cantidad]]*Fact_Ventas_Detalle[[#This Row],[Precio Unitario]])-Fact_Ventas_Detalle[[#This Row],[Descuento Linea]]</f>
        <v>560000</v>
      </c>
    </row>
    <row r="862" spans="1:11" x14ac:dyDescent="0.25">
      <c r="A862">
        <v>76</v>
      </c>
      <c r="B862" s="17" t="s">
        <v>267</v>
      </c>
      <c r="C862">
        <v>2</v>
      </c>
      <c r="D862" s="17" t="s">
        <v>24</v>
      </c>
      <c r="E862" s="17" t="s">
        <v>25</v>
      </c>
      <c r="F862" s="17" t="s">
        <v>14</v>
      </c>
      <c r="G862">
        <v>1</v>
      </c>
      <c r="H862">
        <v>850000</v>
      </c>
      <c r="I862">
        <v>620000</v>
      </c>
      <c r="J862">
        <v>0</v>
      </c>
      <c r="K862" s="17">
        <f>(Fact_Ventas_Detalle[[#This Row],[Cantidad]]*Fact_Ventas_Detalle[[#This Row],[Precio Unitario]])-Fact_Ventas_Detalle[[#This Row],[Descuento Linea]]</f>
        <v>850000</v>
      </c>
    </row>
    <row r="863" spans="1:11" x14ac:dyDescent="0.25">
      <c r="A863">
        <v>76</v>
      </c>
      <c r="B863" s="17" t="s">
        <v>726</v>
      </c>
      <c r="C863">
        <v>4</v>
      </c>
      <c r="D863" s="17" t="s">
        <v>42</v>
      </c>
      <c r="E863" s="17" t="s">
        <v>43</v>
      </c>
      <c r="F863" s="17" t="s">
        <v>29</v>
      </c>
      <c r="G863">
        <v>3</v>
      </c>
      <c r="H863">
        <v>185000</v>
      </c>
      <c r="I863">
        <v>115000</v>
      </c>
      <c r="J863">
        <v>0</v>
      </c>
      <c r="K863" s="17">
        <f>(Fact_Ventas_Detalle[[#This Row],[Cantidad]]*Fact_Ventas_Detalle[[#This Row],[Precio Unitario]])-Fact_Ventas_Detalle[[#This Row],[Descuento Linea]]</f>
        <v>555000</v>
      </c>
    </row>
    <row r="864" spans="1:11" x14ac:dyDescent="0.25">
      <c r="A864">
        <v>76</v>
      </c>
      <c r="B864" s="17" t="s">
        <v>266</v>
      </c>
      <c r="C864">
        <v>2</v>
      </c>
      <c r="D864" s="17" t="s">
        <v>42</v>
      </c>
      <c r="E864" s="17" t="s">
        <v>43</v>
      </c>
      <c r="F864" s="17" t="s">
        <v>29</v>
      </c>
      <c r="G864">
        <v>1</v>
      </c>
      <c r="H864">
        <v>185000</v>
      </c>
      <c r="I864">
        <v>115000</v>
      </c>
      <c r="J864">
        <v>18500</v>
      </c>
      <c r="K864" s="17">
        <f>(Fact_Ventas_Detalle[[#This Row],[Cantidad]]*Fact_Ventas_Detalle[[#This Row],[Precio Unitario]])-Fact_Ventas_Detalle[[#This Row],[Descuento Linea]]</f>
        <v>166500</v>
      </c>
    </row>
    <row r="865" spans="1:11" x14ac:dyDescent="0.25">
      <c r="A865">
        <v>76</v>
      </c>
      <c r="B865" s="17" t="s">
        <v>270</v>
      </c>
      <c r="C865">
        <v>1</v>
      </c>
      <c r="D865" s="17" t="s">
        <v>31</v>
      </c>
      <c r="E865" s="17" t="s">
        <v>32</v>
      </c>
      <c r="F865" s="17" t="s">
        <v>33</v>
      </c>
      <c r="G865">
        <v>2</v>
      </c>
      <c r="H865">
        <v>25000</v>
      </c>
      <c r="I865">
        <v>11000</v>
      </c>
      <c r="J865">
        <v>2500</v>
      </c>
      <c r="K865" s="17">
        <f>(Fact_Ventas_Detalle[[#This Row],[Cantidad]]*Fact_Ventas_Detalle[[#This Row],[Precio Unitario]])-Fact_Ventas_Detalle[[#This Row],[Descuento Linea]]</f>
        <v>47500</v>
      </c>
    </row>
    <row r="866" spans="1:11" x14ac:dyDescent="0.25">
      <c r="A866">
        <v>76</v>
      </c>
      <c r="B866" s="17" t="s">
        <v>478</v>
      </c>
      <c r="C866">
        <v>1</v>
      </c>
      <c r="D866" s="17" t="s">
        <v>12</v>
      </c>
      <c r="E866" s="17" t="s">
        <v>13</v>
      </c>
      <c r="F866" s="17" t="s">
        <v>14</v>
      </c>
      <c r="G866">
        <v>2</v>
      </c>
      <c r="H866">
        <v>280000</v>
      </c>
      <c r="I866">
        <v>190000</v>
      </c>
      <c r="J866">
        <v>28000</v>
      </c>
      <c r="K866" s="17">
        <f>(Fact_Ventas_Detalle[[#This Row],[Cantidad]]*Fact_Ventas_Detalle[[#This Row],[Precio Unitario]])-Fact_Ventas_Detalle[[#This Row],[Descuento Linea]]</f>
        <v>532000</v>
      </c>
    </row>
    <row r="867" spans="1:11" x14ac:dyDescent="0.25">
      <c r="A867">
        <v>76</v>
      </c>
      <c r="B867" s="17" t="s">
        <v>547</v>
      </c>
      <c r="C867">
        <v>1</v>
      </c>
      <c r="D867" s="17" t="s">
        <v>12</v>
      </c>
      <c r="E867" s="17" t="s">
        <v>13</v>
      </c>
      <c r="F867" s="17" t="s">
        <v>14</v>
      </c>
      <c r="G867">
        <v>1</v>
      </c>
      <c r="H867">
        <v>280000</v>
      </c>
      <c r="I867">
        <v>190000</v>
      </c>
      <c r="J867">
        <v>28000</v>
      </c>
      <c r="K867" s="17">
        <f>(Fact_Ventas_Detalle[[#This Row],[Cantidad]]*Fact_Ventas_Detalle[[#This Row],[Precio Unitario]])-Fact_Ventas_Detalle[[#This Row],[Descuento Linea]]</f>
        <v>252000</v>
      </c>
    </row>
    <row r="868" spans="1:11" x14ac:dyDescent="0.25">
      <c r="A868">
        <v>77</v>
      </c>
      <c r="B868" s="17" t="s">
        <v>561</v>
      </c>
      <c r="C868">
        <v>1</v>
      </c>
      <c r="D868" s="17" t="s">
        <v>42</v>
      </c>
      <c r="E868" s="17" t="s">
        <v>43</v>
      </c>
      <c r="F868" s="17" t="s">
        <v>29</v>
      </c>
      <c r="G868">
        <v>1</v>
      </c>
      <c r="H868">
        <v>185000</v>
      </c>
      <c r="I868">
        <v>115000</v>
      </c>
      <c r="J868">
        <v>0</v>
      </c>
      <c r="K868" s="17">
        <f>(Fact_Ventas_Detalle[[#This Row],[Cantidad]]*Fact_Ventas_Detalle[[#This Row],[Precio Unitario]])-Fact_Ventas_Detalle[[#This Row],[Descuento Linea]]</f>
        <v>185000</v>
      </c>
    </row>
    <row r="869" spans="1:11" x14ac:dyDescent="0.25">
      <c r="A869">
        <v>77</v>
      </c>
      <c r="B869" s="17" t="s">
        <v>269</v>
      </c>
      <c r="C869">
        <v>2</v>
      </c>
      <c r="D869" s="17" t="s">
        <v>37</v>
      </c>
      <c r="E869" s="17" t="s">
        <v>38</v>
      </c>
      <c r="F869" s="17" t="s">
        <v>33</v>
      </c>
      <c r="G869">
        <v>3</v>
      </c>
      <c r="H869">
        <v>45000</v>
      </c>
      <c r="I869">
        <v>22000</v>
      </c>
      <c r="J869">
        <v>0</v>
      </c>
      <c r="K869" s="17">
        <f>(Fact_Ventas_Detalle[[#This Row],[Cantidad]]*Fact_Ventas_Detalle[[#This Row],[Precio Unitario]])-Fact_Ventas_Detalle[[#This Row],[Descuento Linea]]</f>
        <v>135000</v>
      </c>
    </row>
    <row r="870" spans="1:11" x14ac:dyDescent="0.25">
      <c r="A870">
        <v>77</v>
      </c>
      <c r="B870" s="17" t="s">
        <v>547</v>
      </c>
      <c r="C870">
        <v>2</v>
      </c>
      <c r="D870" s="17" t="s">
        <v>17</v>
      </c>
      <c r="E870" s="17" t="s">
        <v>18</v>
      </c>
      <c r="F870" s="17" t="s">
        <v>19</v>
      </c>
      <c r="G870">
        <v>3</v>
      </c>
      <c r="H870">
        <v>65000</v>
      </c>
      <c r="I870">
        <v>35000</v>
      </c>
      <c r="J870">
        <v>0</v>
      </c>
      <c r="K870" s="17">
        <f>(Fact_Ventas_Detalle[[#This Row],[Cantidad]]*Fact_Ventas_Detalle[[#This Row],[Precio Unitario]])-Fact_Ventas_Detalle[[#This Row],[Descuento Linea]]</f>
        <v>195000</v>
      </c>
    </row>
    <row r="871" spans="1:11" x14ac:dyDescent="0.25">
      <c r="A871">
        <v>77</v>
      </c>
      <c r="B871" s="17" t="s">
        <v>266</v>
      </c>
      <c r="C871">
        <v>3</v>
      </c>
      <c r="D871" s="17" t="s">
        <v>24</v>
      </c>
      <c r="E871" s="17" t="s">
        <v>25</v>
      </c>
      <c r="F871" s="17" t="s">
        <v>14</v>
      </c>
      <c r="G871">
        <v>3</v>
      </c>
      <c r="H871">
        <v>850000</v>
      </c>
      <c r="I871">
        <v>620000</v>
      </c>
      <c r="J871">
        <v>255000</v>
      </c>
      <c r="K871" s="17">
        <f>(Fact_Ventas_Detalle[[#This Row],[Cantidad]]*Fact_Ventas_Detalle[[#This Row],[Precio Unitario]])-Fact_Ventas_Detalle[[#This Row],[Descuento Linea]]</f>
        <v>2295000</v>
      </c>
    </row>
    <row r="872" spans="1:11" x14ac:dyDescent="0.25">
      <c r="A872">
        <v>77</v>
      </c>
      <c r="B872" s="17" t="s">
        <v>267</v>
      </c>
      <c r="C872">
        <v>3</v>
      </c>
      <c r="D872" s="17" t="s">
        <v>31</v>
      </c>
      <c r="E872" s="17" t="s">
        <v>32</v>
      </c>
      <c r="F872" s="17" t="s">
        <v>33</v>
      </c>
      <c r="G872">
        <v>3</v>
      </c>
      <c r="H872">
        <v>25000</v>
      </c>
      <c r="I872">
        <v>11000</v>
      </c>
      <c r="J872">
        <v>7500</v>
      </c>
      <c r="K872" s="17">
        <f>(Fact_Ventas_Detalle[[#This Row],[Cantidad]]*Fact_Ventas_Detalle[[#This Row],[Precio Unitario]])-Fact_Ventas_Detalle[[#This Row],[Descuento Linea]]</f>
        <v>67500</v>
      </c>
    </row>
    <row r="873" spans="1:11" x14ac:dyDescent="0.25">
      <c r="A873">
        <v>77</v>
      </c>
      <c r="B873" s="17" t="s">
        <v>478</v>
      </c>
      <c r="C873">
        <v>2</v>
      </c>
      <c r="D873" s="17" t="s">
        <v>37</v>
      </c>
      <c r="E873" s="17" t="s">
        <v>38</v>
      </c>
      <c r="F873" s="17" t="s">
        <v>33</v>
      </c>
      <c r="G873">
        <v>1</v>
      </c>
      <c r="H873">
        <v>45000</v>
      </c>
      <c r="I873">
        <v>22000</v>
      </c>
      <c r="J873">
        <v>2250</v>
      </c>
      <c r="K873" s="17">
        <f>(Fact_Ventas_Detalle[[#This Row],[Cantidad]]*Fact_Ventas_Detalle[[#This Row],[Precio Unitario]])-Fact_Ventas_Detalle[[#This Row],[Descuento Linea]]</f>
        <v>42750</v>
      </c>
    </row>
    <row r="874" spans="1:11" x14ac:dyDescent="0.25">
      <c r="A874">
        <v>77</v>
      </c>
      <c r="B874" s="17" t="s">
        <v>271</v>
      </c>
      <c r="C874">
        <v>1</v>
      </c>
      <c r="D874" s="17" t="s">
        <v>37</v>
      </c>
      <c r="E874" s="17" t="s">
        <v>38</v>
      </c>
      <c r="F874" s="17" t="s">
        <v>33</v>
      </c>
      <c r="G874">
        <v>3</v>
      </c>
      <c r="H874">
        <v>45000</v>
      </c>
      <c r="I874">
        <v>22000</v>
      </c>
      <c r="J874">
        <v>13500</v>
      </c>
      <c r="K874" s="17">
        <f>(Fact_Ventas_Detalle[[#This Row],[Cantidad]]*Fact_Ventas_Detalle[[#This Row],[Precio Unitario]])-Fact_Ventas_Detalle[[#This Row],[Descuento Linea]]</f>
        <v>121500</v>
      </c>
    </row>
    <row r="875" spans="1:11" x14ac:dyDescent="0.25">
      <c r="A875">
        <v>78</v>
      </c>
      <c r="B875" s="17" t="s">
        <v>272</v>
      </c>
      <c r="C875">
        <v>1</v>
      </c>
      <c r="D875" s="17" t="s">
        <v>12</v>
      </c>
      <c r="E875" s="17" t="s">
        <v>13</v>
      </c>
      <c r="F875" s="17" t="s">
        <v>14</v>
      </c>
      <c r="G875">
        <v>1</v>
      </c>
      <c r="H875">
        <v>280000</v>
      </c>
      <c r="I875">
        <v>190000</v>
      </c>
      <c r="J875">
        <v>0</v>
      </c>
      <c r="K875" s="17">
        <f>(Fact_Ventas_Detalle[[#This Row],[Cantidad]]*Fact_Ventas_Detalle[[#This Row],[Precio Unitario]])-Fact_Ventas_Detalle[[#This Row],[Descuento Linea]]</f>
        <v>280000</v>
      </c>
    </row>
    <row r="876" spans="1:11" x14ac:dyDescent="0.25">
      <c r="A876">
        <v>78</v>
      </c>
      <c r="B876" s="17" t="s">
        <v>561</v>
      </c>
      <c r="C876">
        <v>2</v>
      </c>
      <c r="D876" s="17" t="s">
        <v>31</v>
      </c>
      <c r="E876" s="17" t="s">
        <v>32</v>
      </c>
      <c r="F876" s="17" t="s">
        <v>33</v>
      </c>
      <c r="G876">
        <v>3</v>
      </c>
      <c r="H876">
        <v>25000</v>
      </c>
      <c r="I876">
        <v>11000</v>
      </c>
      <c r="J876">
        <v>0</v>
      </c>
      <c r="K876" s="17">
        <f>(Fact_Ventas_Detalle[[#This Row],[Cantidad]]*Fact_Ventas_Detalle[[#This Row],[Precio Unitario]])-Fact_Ventas_Detalle[[#This Row],[Descuento Linea]]</f>
        <v>75000</v>
      </c>
    </row>
    <row r="877" spans="1:11" x14ac:dyDescent="0.25">
      <c r="A877">
        <v>78</v>
      </c>
      <c r="B877" s="17" t="s">
        <v>547</v>
      </c>
      <c r="C877">
        <v>3</v>
      </c>
      <c r="D877" s="17" t="s">
        <v>37</v>
      </c>
      <c r="E877" s="17" t="s">
        <v>38</v>
      </c>
      <c r="F877" s="17" t="s">
        <v>33</v>
      </c>
      <c r="G877">
        <v>3</v>
      </c>
      <c r="H877">
        <v>45000</v>
      </c>
      <c r="I877">
        <v>22000</v>
      </c>
      <c r="J877">
        <v>0</v>
      </c>
      <c r="K877" s="17">
        <f>(Fact_Ventas_Detalle[[#This Row],[Cantidad]]*Fact_Ventas_Detalle[[#This Row],[Precio Unitario]])-Fact_Ventas_Detalle[[#This Row],[Descuento Linea]]</f>
        <v>135000</v>
      </c>
    </row>
    <row r="878" spans="1:11" x14ac:dyDescent="0.25">
      <c r="A878">
        <v>78</v>
      </c>
      <c r="B878" s="17" t="s">
        <v>478</v>
      </c>
      <c r="C878">
        <v>3</v>
      </c>
      <c r="D878" s="17" t="s">
        <v>31</v>
      </c>
      <c r="E878" s="17" t="s">
        <v>32</v>
      </c>
      <c r="F878" s="17" t="s">
        <v>33</v>
      </c>
      <c r="G878">
        <v>2</v>
      </c>
      <c r="H878">
        <v>25000</v>
      </c>
      <c r="I878">
        <v>11000</v>
      </c>
      <c r="J878">
        <v>0</v>
      </c>
      <c r="K878" s="17">
        <f>(Fact_Ventas_Detalle[[#This Row],[Cantidad]]*Fact_Ventas_Detalle[[#This Row],[Precio Unitario]])-Fact_Ventas_Detalle[[#This Row],[Descuento Linea]]</f>
        <v>50000</v>
      </c>
    </row>
    <row r="879" spans="1:11" x14ac:dyDescent="0.25">
      <c r="A879">
        <v>78</v>
      </c>
      <c r="B879" s="17" t="s">
        <v>266</v>
      </c>
      <c r="C879">
        <v>4</v>
      </c>
      <c r="D879" s="17" t="s">
        <v>27</v>
      </c>
      <c r="E879" s="17" t="s">
        <v>28</v>
      </c>
      <c r="F879" s="17" t="s">
        <v>29</v>
      </c>
      <c r="G879">
        <v>1</v>
      </c>
      <c r="H879">
        <v>240000</v>
      </c>
      <c r="I879">
        <v>150000</v>
      </c>
      <c r="J879">
        <v>0</v>
      </c>
      <c r="K879" s="17">
        <f>(Fact_Ventas_Detalle[[#This Row],[Cantidad]]*Fact_Ventas_Detalle[[#This Row],[Precio Unitario]])-Fact_Ventas_Detalle[[#This Row],[Descuento Linea]]</f>
        <v>240000</v>
      </c>
    </row>
    <row r="880" spans="1:11" x14ac:dyDescent="0.25">
      <c r="A880">
        <v>78</v>
      </c>
      <c r="B880" s="17" t="s">
        <v>273</v>
      </c>
      <c r="C880">
        <v>1</v>
      </c>
      <c r="D880" s="17" t="s">
        <v>42</v>
      </c>
      <c r="E880" s="17" t="s">
        <v>43</v>
      </c>
      <c r="F880" s="17" t="s">
        <v>29</v>
      </c>
      <c r="G880">
        <v>1</v>
      </c>
      <c r="H880">
        <v>185000</v>
      </c>
      <c r="I880">
        <v>115000</v>
      </c>
      <c r="J880">
        <v>18500</v>
      </c>
      <c r="K880" s="17">
        <f>(Fact_Ventas_Detalle[[#This Row],[Cantidad]]*Fact_Ventas_Detalle[[#This Row],[Precio Unitario]])-Fact_Ventas_Detalle[[#This Row],[Descuento Linea]]</f>
        <v>166500</v>
      </c>
    </row>
    <row r="881" spans="1:11" x14ac:dyDescent="0.25">
      <c r="A881">
        <v>79</v>
      </c>
      <c r="B881" s="17" t="s">
        <v>813</v>
      </c>
      <c r="C881">
        <v>1</v>
      </c>
      <c r="D881" s="17" t="s">
        <v>17</v>
      </c>
      <c r="E881" s="17" t="s">
        <v>18</v>
      </c>
      <c r="F881" s="17" t="s">
        <v>19</v>
      </c>
      <c r="G881">
        <v>2</v>
      </c>
      <c r="H881">
        <v>65000</v>
      </c>
      <c r="I881">
        <v>35000</v>
      </c>
      <c r="J881">
        <v>0</v>
      </c>
      <c r="K881" s="17">
        <f>(Fact_Ventas_Detalle[[#This Row],[Cantidad]]*Fact_Ventas_Detalle[[#This Row],[Precio Unitario]])-Fact_Ventas_Detalle[[#This Row],[Descuento Linea]]</f>
        <v>130000</v>
      </c>
    </row>
    <row r="882" spans="1:11" x14ac:dyDescent="0.25">
      <c r="A882">
        <v>79</v>
      </c>
      <c r="B882" s="17" t="s">
        <v>272</v>
      </c>
      <c r="C882">
        <v>2</v>
      </c>
      <c r="D882" s="17" t="s">
        <v>24</v>
      </c>
      <c r="E882" s="17" t="s">
        <v>25</v>
      </c>
      <c r="F882" s="17" t="s">
        <v>14</v>
      </c>
      <c r="G882">
        <v>2</v>
      </c>
      <c r="H882">
        <v>850000</v>
      </c>
      <c r="I882">
        <v>620000</v>
      </c>
      <c r="J882">
        <v>0</v>
      </c>
      <c r="K882" s="17">
        <f>(Fact_Ventas_Detalle[[#This Row],[Cantidad]]*Fact_Ventas_Detalle[[#This Row],[Precio Unitario]])-Fact_Ventas_Detalle[[#This Row],[Descuento Linea]]</f>
        <v>1700000</v>
      </c>
    </row>
    <row r="883" spans="1:11" x14ac:dyDescent="0.25">
      <c r="A883">
        <v>79</v>
      </c>
      <c r="B883" s="17" t="s">
        <v>561</v>
      </c>
      <c r="C883">
        <v>3</v>
      </c>
      <c r="D883" s="17" t="s">
        <v>27</v>
      </c>
      <c r="E883" s="17" t="s">
        <v>28</v>
      </c>
      <c r="F883" s="17" t="s">
        <v>29</v>
      </c>
      <c r="G883">
        <v>1</v>
      </c>
      <c r="H883">
        <v>240000</v>
      </c>
      <c r="I883">
        <v>150000</v>
      </c>
      <c r="J883">
        <v>24000</v>
      </c>
      <c r="K883" s="17">
        <f>(Fact_Ventas_Detalle[[#This Row],[Cantidad]]*Fact_Ventas_Detalle[[#This Row],[Precio Unitario]])-Fact_Ventas_Detalle[[#This Row],[Descuento Linea]]</f>
        <v>216000</v>
      </c>
    </row>
    <row r="884" spans="1:11" x14ac:dyDescent="0.25">
      <c r="A884">
        <v>79</v>
      </c>
      <c r="B884" s="17" t="s">
        <v>273</v>
      </c>
      <c r="C884">
        <v>2</v>
      </c>
      <c r="D884" s="17" t="s">
        <v>12</v>
      </c>
      <c r="E884" s="17" t="s">
        <v>13</v>
      </c>
      <c r="F884" s="17" t="s">
        <v>14</v>
      </c>
      <c r="G884">
        <v>2</v>
      </c>
      <c r="H884">
        <v>280000</v>
      </c>
      <c r="I884">
        <v>190000</v>
      </c>
      <c r="J884">
        <v>56000</v>
      </c>
      <c r="K884" s="17">
        <f>(Fact_Ventas_Detalle[[#This Row],[Cantidad]]*Fact_Ventas_Detalle[[#This Row],[Precio Unitario]])-Fact_Ventas_Detalle[[#This Row],[Descuento Linea]]</f>
        <v>504000</v>
      </c>
    </row>
    <row r="885" spans="1:11" x14ac:dyDescent="0.25">
      <c r="A885">
        <v>79</v>
      </c>
      <c r="B885" s="17" t="s">
        <v>740</v>
      </c>
      <c r="C885">
        <v>1</v>
      </c>
      <c r="D885" s="17" t="s">
        <v>39</v>
      </c>
      <c r="E885" s="17" t="s">
        <v>40</v>
      </c>
      <c r="F885" s="17" t="s">
        <v>14</v>
      </c>
      <c r="G885">
        <v>3</v>
      </c>
      <c r="H885">
        <v>75000</v>
      </c>
      <c r="I885">
        <v>42000</v>
      </c>
      <c r="J885">
        <v>11250</v>
      </c>
      <c r="K885" s="17">
        <f>(Fact_Ventas_Detalle[[#This Row],[Cantidad]]*Fact_Ventas_Detalle[[#This Row],[Precio Unitario]])-Fact_Ventas_Detalle[[#This Row],[Descuento Linea]]</f>
        <v>213750</v>
      </c>
    </row>
    <row r="886" spans="1:11" x14ac:dyDescent="0.25">
      <c r="A886">
        <v>79</v>
      </c>
      <c r="B886" s="17" t="s">
        <v>274</v>
      </c>
      <c r="C886">
        <v>1</v>
      </c>
      <c r="D886" s="17" t="s">
        <v>24</v>
      </c>
      <c r="E886" s="17" t="s">
        <v>25</v>
      </c>
      <c r="F886" s="17" t="s">
        <v>14</v>
      </c>
      <c r="G886">
        <v>1</v>
      </c>
      <c r="H886">
        <v>850000</v>
      </c>
      <c r="I886">
        <v>620000</v>
      </c>
      <c r="J886">
        <v>42500</v>
      </c>
      <c r="K886" s="17">
        <f>(Fact_Ventas_Detalle[[#This Row],[Cantidad]]*Fact_Ventas_Detalle[[#This Row],[Precio Unitario]])-Fact_Ventas_Detalle[[#This Row],[Descuento Linea]]</f>
        <v>807500</v>
      </c>
    </row>
    <row r="887" spans="1:11" x14ac:dyDescent="0.25">
      <c r="A887">
        <v>80</v>
      </c>
      <c r="B887" s="17" t="s">
        <v>710</v>
      </c>
      <c r="C887">
        <v>1</v>
      </c>
      <c r="D887" s="17" t="s">
        <v>31</v>
      </c>
      <c r="E887" s="17" t="s">
        <v>32</v>
      </c>
      <c r="F887" s="17" t="s">
        <v>33</v>
      </c>
      <c r="G887">
        <v>2</v>
      </c>
      <c r="H887">
        <v>25000</v>
      </c>
      <c r="I887">
        <v>11000</v>
      </c>
      <c r="J887">
        <v>0</v>
      </c>
      <c r="K887" s="17">
        <f>(Fact_Ventas_Detalle[[#This Row],[Cantidad]]*Fact_Ventas_Detalle[[#This Row],[Precio Unitario]])-Fact_Ventas_Detalle[[#This Row],[Descuento Linea]]</f>
        <v>50000</v>
      </c>
    </row>
    <row r="888" spans="1:11" x14ac:dyDescent="0.25">
      <c r="A888">
        <v>80</v>
      </c>
      <c r="B888" s="17" t="s">
        <v>273</v>
      </c>
      <c r="C888">
        <v>3</v>
      </c>
      <c r="D888" s="17" t="s">
        <v>17</v>
      </c>
      <c r="E888" s="17" t="s">
        <v>18</v>
      </c>
      <c r="F888" s="17" t="s">
        <v>19</v>
      </c>
      <c r="G888">
        <v>2</v>
      </c>
      <c r="H888">
        <v>65000</v>
      </c>
      <c r="I888">
        <v>35000</v>
      </c>
      <c r="J888">
        <v>0</v>
      </c>
      <c r="K888" s="17">
        <f>(Fact_Ventas_Detalle[[#This Row],[Cantidad]]*Fact_Ventas_Detalle[[#This Row],[Precio Unitario]])-Fact_Ventas_Detalle[[#This Row],[Descuento Linea]]</f>
        <v>130000</v>
      </c>
    </row>
    <row r="889" spans="1:11" x14ac:dyDescent="0.25">
      <c r="A889">
        <v>80</v>
      </c>
      <c r="B889" s="17" t="s">
        <v>561</v>
      </c>
      <c r="C889">
        <v>4</v>
      </c>
      <c r="D889" s="17" t="s">
        <v>27</v>
      </c>
      <c r="E889" s="17" t="s">
        <v>28</v>
      </c>
      <c r="F889" s="17" t="s">
        <v>29</v>
      </c>
      <c r="G889">
        <v>2</v>
      </c>
      <c r="H889">
        <v>240000</v>
      </c>
      <c r="I889">
        <v>150000</v>
      </c>
      <c r="J889">
        <v>48000</v>
      </c>
      <c r="K889" s="17">
        <f>(Fact_Ventas_Detalle[[#This Row],[Cantidad]]*Fact_Ventas_Detalle[[#This Row],[Precio Unitario]])-Fact_Ventas_Detalle[[#This Row],[Descuento Linea]]</f>
        <v>432000</v>
      </c>
    </row>
    <row r="890" spans="1:11" x14ac:dyDescent="0.25">
      <c r="A890">
        <v>80</v>
      </c>
      <c r="B890" s="17" t="s">
        <v>272</v>
      </c>
      <c r="C890">
        <v>3</v>
      </c>
      <c r="D890" s="17" t="s">
        <v>31</v>
      </c>
      <c r="E890" s="17" t="s">
        <v>32</v>
      </c>
      <c r="F890" s="17" t="s">
        <v>33</v>
      </c>
      <c r="G890">
        <v>1</v>
      </c>
      <c r="H890">
        <v>25000</v>
      </c>
      <c r="I890">
        <v>11000</v>
      </c>
      <c r="J890">
        <v>1250</v>
      </c>
      <c r="K890" s="17">
        <f>(Fact_Ventas_Detalle[[#This Row],[Cantidad]]*Fact_Ventas_Detalle[[#This Row],[Precio Unitario]])-Fact_Ventas_Detalle[[#This Row],[Descuento Linea]]</f>
        <v>23750</v>
      </c>
    </row>
    <row r="891" spans="1:11" x14ac:dyDescent="0.25">
      <c r="A891">
        <v>80</v>
      </c>
      <c r="B891" s="17" t="s">
        <v>274</v>
      </c>
      <c r="C891">
        <v>2</v>
      </c>
      <c r="D891" s="17" t="s">
        <v>37</v>
      </c>
      <c r="E891" s="17" t="s">
        <v>38</v>
      </c>
      <c r="F891" s="17" t="s">
        <v>33</v>
      </c>
      <c r="G891">
        <v>2</v>
      </c>
      <c r="H891">
        <v>45000</v>
      </c>
      <c r="I891">
        <v>22000</v>
      </c>
      <c r="J891">
        <v>9000</v>
      </c>
      <c r="K891" s="17">
        <f>(Fact_Ventas_Detalle[[#This Row],[Cantidad]]*Fact_Ventas_Detalle[[#This Row],[Precio Unitario]])-Fact_Ventas_Detalle[[#This Row],[Descuento Linea]]</f>
        <v>81000</v>
      </c>
    </row>
    <row r="892" spans="1:11" x14ac:dyDescent="0.25">
      <c r="A892">
        <v>81</v>
      </c>
      <c r="B892" s="17" t="s">
        <v>275</v>
      </c>
      <c r="C892">
        <v>1</v>
      </c>
      <c r="D892" s="17" t="s">
        <v>12</v>
      </c>
      <c r="E892" s="17" t="s">
        <v>13</v>
      </c>
      <c r="F892" s="17" t="s">
        <v>14</v>
      </c>
      <c r="G892">
        <v>3</v>
      </c>
      <c r="H892">
        <v>280000</v>
      </c>
      <c r="I892">
        <v>190000</v>
      </c>
      <c r="J892">
        <v>0</v>
      </c>
      <c r="K892" s="17">
        <f>(Fact_Ventas_Detalle[[#This Row],[Cantidad]]*Fact_Ventas_Detalle[[#This Row],[Precio Unitario]])-Fact_Ventas_Detalle[[#This Row],[Descuento Linea]]</f>
        <v>840000</v>
      </c>
    </row>
    <row r="893" spans="1:11" x14ac:dyDescent="0.25">
      <c r="A893">
        <v>81</v>
      </c>
      <c r="B893" s="17" t="s">
        <v>458</v>
      </c>
      <c r="C893">
        <v>1</v>
      </c>
      <c r="D893" s="17" t="s">
        <v>12</v>
      </c>
      <c r="E893" s="17" t="s">
        <v>13</v>
      </c>
      <c r="F893" s="17" t="s">
        <v>14</v>
      </c>
      <c r="G893">
        <v>2</v>
      </c>
      <c r="H893">
        <v>280000</v>
      </c>
      <c r="I893">
        <v>190000</v>
      </c>
      <c r="J893">
        <v>0</v>
      </c>
      <c r="K893" s="17">
        <f>(Fact_Ventas_Detalle[[#This Row],[Cantidad]]*Fact_Ventas_Detalle[[#This Row],[Precio Unitario]])-Fact_Ventas_Detalle[[#This Row],[Descuento Linea]]</f>
        <v>560000</v>
      </c>
    </row>
    <row r="894" spans="1:11" x14ac:dyDescent="0.25">
      <c r="A894">
        <v>81</v>
      </c>
      <c r="B894" s="17" t="s">
        <v>274</v>
      </c>
      <c r="C894">
        <v>3</v>
      </c>
      <c r="D894" s="17" t="s">
        <v>39</v>
      </c>
      <c r="E894" s="17" t="s">
        <v>40</v>
      </c>
      <c r="F894" s="17" t="s">
        <v>14</v>
      </c>
      <c r="G894">
        <v>1</v>
      </c>
      <c r="H894">
        <v>75000</v>
      </c>
      <c r="I894">
        <v>42000</v>
      </c>
      <c r="J894">
        <v>0</v>
      </c>
      <c r="K894" s="17">
        <f>(Fact_Ventas_Detalle[[#This Row],[Cantidad]]*Fact_Ventas_Detalle[[#This Row],[Precio Unitario]])-Fact_Ventas_Detalle[[#This Row],[Descuento Linea]]</f>
        <v>75000</v>
      </c>
    </row>
    <row r="895" spans="1:11" x14ac:dyDescent="0.25">
      <c r="A895">
        <v>81</v>
      </c>
      <c r="B895" s="17" t="s">
        <v>272</v>
      </c>
      <c r="C895">
        <v>4</v>
      </c>
      <c r="D895" s="17" t="s">
        <v>31</v>
      </c>
      <c r="E895" s="17" t="s">
        <v>32</v>
      </c>
      <c r="F895" s="17" t="s">
        <v>33</v>
      </c>
      <c r="G895">
        <v>3</v>
      </c>
      <c r="H895">
        <v>25000</v>
      </c>
      <c r="I895">
        <v>11000</v>
      </c>
      <c r="J895">
        <v>3750</v>
      </c>
      <c r="K895" s="17">
        <f>(Fact_Ventas_Detalle[[#This Row],[Cantidad]]*Fact_Ventas_Detalle[[#This Row],[Precio Unitario]])-Fact_Ventas_Detalle[[#This Row],[Descuento Linea]]</f>
        <v>71250</v>
      </c>
    </row>
    <row r="896" spans="1:11" x14ac:dyDescent="0.25">
      <c r="A896">
        <v>81</v>
      </c>
      <c r="B896" s="17" t="s">
        <v>710</v>
      </c>
      <c r="C896">
        <v>2</v>
      </c>
      <c r="D896" s="17" t="s">
        <v>37</v>
      </c>
      <c r="E896" s="17" t="s">
        <v>38</v>
      </c>
      <c r="F896" s="17" t="s">
        <v>33</v>
      </c>
      <c r="G896">
        <v>3</v>
      </c>
      <c r="H896">
        <v>45000</v>
      </c>
      <c r="I896">
        <v>22000</v>
      </c>
      <c r="J896">
        <v>13500</v>
      </c>
      <c r="K896" s="17">
        <f>(Fact_Ventas_Detalle[[#This Row],[Cantidad]]*Fact_Ventas_Detalle[[#This Row],[Precio Unitario]])-Fact_Ventas_Detalle[[#This Row],[Descuento Linea]]</f>
        <v>121500</v>
      </c>
    </row>
    <row r="897" spans="1:11" x14ac:dyDescent="0.25">
      <c r="A897">
        <v>82</v>
      </c>
      <c r="B897" s="17" t="s">
        <v>276</v>
      </c>
      <c r="C897">
        <v>1</v>
      </c>
      <c r="D897" s="17" t="s">
        <v>39</v>
      </c>
      <c r="E897" s="17" t="s">
        <v>40</v>
      </c>
      <c r="F897" s="17" t="s">
        <v>14</v>
      </c>
      <c r="G897">
        <v>3</v>
      </c>
      <c r="H897">
        <v>75000</v>
      </c>
      <c r="I897">
        <v>42000</v>
      </c>
      <c r="J897">
        <v>0</v>
      </c>
      <c r="K897" s="17">
        <f>(Fact_Ventas_Detalle[[#This Row],[Cantidad]]*Fact_Ventas_Detalle[[#This Row],[Precio Unitario]])-Fact_Ventas_Detalle[[#This Row],[Descuento Linea]]</f>
        <v>225000</v>
      </c>
    </row>
    <row r="898" spans="1:11" x14ac:dyDescent="0.25">
      <c r="A898">
        <v>82</v>
      </c>
      <c r="B898" s="17" t="s">
        <v>815</v>
      </c>
      <c r="C898">
        <v>1</v>
      </c>
      <c r="D898" s="17" t="s">
        <v>24</v>
      </c>
      <c r="E898" s="17" t="s">
        <v>25</v>
      </c>
      <c r="F898" s="17" t="s">
        <v>14</v>
      </c>
      <c r="G898">
        <v>3</v>
      </c>
      <c r="H898">
        <v>850000</v>
      </c>
      <c r="I898">
        <v>620000</v>
      </c>
      <c r="J898">
        <v>0</v>
      </c>
      <c r="K898" s="17">
        <f>(Fact_Ventas_Detalle[[#This Row],[Cantidad]]*Fact_Ventas_Detalle[[#This Row],[Precio Unitario]])-Fact_Ventas_Detalle[[#This Row],[Descuento Linea]]</f>
        <v>2550000</v>
      </c>
    </row>
    <row r="899" spans="1:11" x14ac:dyDescent="0.25">
      <c r="A899">
        <v>82</v>
      </c>
      <c r="B899" s="17" t="s">
        <v>275</v>
      </c>
      <c r="C899">
        <v>2</v>
      </c>
      <c r="D899" s="17" t="s">
        <v>27</v>
      </c>
      <c r="E899" s="17" t="s">
        <v>28</v>
      </c>
      <c r="F899" s="17" t="s">
        <v>29</v>
      </c>
      <c r="G899">
        <v>2</v>
      </c>
      <c r="H899">
        <v>240000</v>
      </c>
      <c r="I899">
        <v>150000</v>
      </c>
      <c r="J899">
        <v>0</v>
      </c>
      <c r="K899" s="17">
        <f>(Fact_Ventas_Detalle[[#This Row],[Cantidad]]*Fact_Ventas_Detalle[[#This Row],[Precio Unitario]])-Fact_Ventas_Detalle[[#This Row],[Descuento Linea]]</f>
        <v>480000</v>
      </c>
    </row>
    <row r="900" spans="1:11" x14ac:dyDescent="0.25">
      <c r="A900">
        <v>82</v>
      </c>
      <c r="B900" s="17" t="s">
        <v>458</v>
      </c>
      <c r="C900">
        <v>2</v>
      </c>
      <c r="D900" s="17" t="s">
        <v>42</v>
      </c>
      <c r="E900" s="17" t="s">
        <v>43</v>
      </c>
      <c r="F900" s="17" t="s">
        <v>29</v>
      </c>
      <c r="G900">
        <v>2</v>
      </c>
      <c r="H900">
        <v>185000</v>
      </c>
      <c r="I900">
        <v>115000</v>
      </c>
      <c r="J900">
        <v>0</v>
      </c>
      <c r="K900" s="17">
        <f>(Fact_Ventas_Detalle[[#This Row],[Cantidad]]*Fact_Ventas_Detalle[[#This Row],[Precio Unitario]])-Fact_Ventas_Detalle[[#This Row],[Descuento Linea]]</f>
        <v>370000</v>
      </c>
    </row>
    <row r="901" spans="1:11" x14ac:dyDescent="0.25">
      <c r="A901">
        <v>82</v>
      </c>
      <c r="B901" s="17" t="s">
        <v>274</v>
      </c>
      <c r="C901">
        <v>4</v>
      </c>
      <c r="D901" s="17" t="s">
        <v>31</v>
      </c>
      <c r="E901" s="17" t="s">
        <v>32</v>
      </c>
      <c r="F901" s="17" t="s">
        <v>33</v>
      </c>
      <c r="G901">
        <v>3</v>
      </c>
      <c r="H901">
        <v>25000</v>
      </c>
      <c r="I901">
        <v>11000</v>
      </c>
      <c r="J901">
        <v>0</v>
      </c>
      <c r="K901" s="17">
        <f>(Fact_Ventas_Detalle[[#This Row],[Cantidad]]*Fact_Ventas_Detalle[[#This Row],[Precio Unitario]])-Fact_Ventas_Detalle[[#This Row],[Descuento Linea]]</f>
        <v>75000</v>
      </c>
    </row>
    <row r="902" spans="1:11" x14ac:dyDescent="0.25">
      <c r="A902">
        <v>83</v>
      </c>
      <c r="B902" s="17" t="s">
        <v>276</v>
      </c>
      <c r="C902">
        <v>2</v>
      </c>
      <c r="D902" s="17" t="s">
        <v>17</v>
      </c>
      <c r="E902" s="17" t="s">
        <v>18</v>
      </c>
      <c r="F902" s="17" t="s">
        <v>19</v>
      </c>
      <c r="G902">
        <v>1</v>
      </c>
      <c r="H902">
        <v>65000</v>
      </c>
      <c r="I902">
        <v>35000</v>
      </c>
      <c r="J902">
        <v>0</v>
      </c>
      <c r="K902" s="17">
        <f>(Fact_Ventas_Detalle[[#This Row],[Cantidad]]*Fact_Ventas_Detalle[[#This Row],[Precio Unitario]])-Fact_Ventas_Detalle[[#This Row],[Descuento Linea]]</f>
        <v>65000</v>
      </c>
    </row>
    <row r="903" spans="1:11" x14ac:dyDescent="0.25">
      <c r="A903">
        <v>83</v>
      </c>
      <c r="B903" s="17" t="s">
        <v>275</v>
      </c>
      <c r="C903">
        <v>3</v>
      </c>
      <c r="D903" s="17" t="s">
        <v>39</v>
      </c>
      <c r="E903" s="17" t="s">
        <v>40</v>
      </c>
      <c r="F903" s="17" t="s">
        <v>14</v>
      </c>
      <c r="G903">
        <v>3</v>
      </c>
      <c r="H903">
        <v>75000</v>
      </c>
      <c r="I903">
        <v>42000</v>
      </c>
      <c r="J903">
        <v>0</v>
      </c>
      <c r="K903" s="17">
        <f>(Fact_Ventas_Detalle[[#This Row],[Cantidad]]*Fact_Ventas_Detalle[[#This Row],[Precio Unitario]])-Fact_Ventas_Detalle[[#This Row],[Descuento Linea]]</f>
        <v>225000</v>
      </c>
    </row>
    <row r="904" spans="1:11" x14ac:dyDescent="0.25">
      <c r="A904">
        <v>83</v>
      </c>
      <c r="B904" s="17" t="s">
        <v>458</v>
      </c>
      <c r="C904">
        <v>3</v>
      </c>
      <c r="D904" s="17" t="s">
        <v>17</v>
      </c>
      <c r="E904" s="17" t="s">
        <v>18</v>
      </c>
      <c r="F904" s="17" t="s">
        <v>19</v>
      </c>
      <c r="G904">
        <v>1</v>
      </c>
      <c r="H904">
        <v>65000</v>
      </c>
      <c r="I904">
        <v>35000</v>
      </c>
      <c r="J904">
        <v>6500</v>
      </c>
      <c r="K904" s="17">
        <f>(Fact_Ventas_Detalle[[#This Row],[Cantidad]]*Fact_Ventas_Detalle[[#This Row],[Precio Unitario]])-Fact_Ventas_Detalle[[#This Row],[Descuento Linea]]</f>
        <v>58500</v>
      </c>
    </row>
    <row r="905" spans="1:11" x14ac:dyDescent="0.25">
      <c r="A905">
        <v>83</v>
      </c>
      <c r="B905" s="17" t="s">
        <v>815</v>
      </c>
      <c r="C905">
        <v>2</v>
      </c>
      <c r="D905" s="17" t="s">
        <v>12</v>
      </c>
      <c r="E905" s="17" t="s">
        <v>13</v>
      </c>
      <c r="F905" s="17" t="s">
        <v>14</v>
      </c>
      <c r="G905">
        <v>1</v>
      </c>
      <c r="H905">
        <v>280000</v>
      </c>
      <c r="I905">
        <v>190000</v>
      </c>
      <c r="J905">
        <v>28000</v>
      </c>
      <c r="K905" s="17">
        <f>(Fact_Ventas_Detalle[[#This Row],[Cantidad]]*Fact_Ventas_Detalle[[#This Row],[Precio Unitario]])-Fact_Ventas_Detalle[[#This Row],[Descuento Linea]]</f>
        <v>252000</v>
      </c>
    </row>
    <row r="906" spans="1:11" x14ac:dyDescent="0.25">
      <c r="A906">
        <v>83</v>
      </c>
      <c r="B906" s="17" t="s">
        <v>277</v>
      </c>
      <c r="C906">
        <v>1</v>
      </c>
      <c r="D906" s="17" t="s">
        <v>37</v>
      </c>
      <c r="E906" s="17" t="s">
        <v>38</v>
      </c>
      <c r="F906" s="17" t="s">
        <v>33</v>
      </c>
      <c r="G906">
        <v>2</v>
      </c>
      <c r="H906">
        <v>45000</v>
      </c>
      <c r="I906">
        <v>22000</v>
      </c>
      <c r="J906">
        <v>4500</v>
      </c>
      <c r="K906" s="17">
        <f>(Fact_Ventas_Detalle[[#This Row],[Cantidad]]*Fact_Ventas_Detalle[[#This Row],[Precio Unitario]])-Fact_Ventas_Detalle[[#This Row],[Descuento Linea]]</f>
        <v>85500</v>
      </c>
    </row>
    <row r="907" spans="1:11" x14ac:dyDescent="0.25">
      <c r="A907">
        <v>84</v>
      </c>
      <c r="B907" s="17" t="s">
        <v>278</v>
      </c>
      <c r="C907">
        <v>1</v>
      </c>
      <c r="D907" s="17" t="s">
        <v>27</v>
      </c>
      <c r="E907" s="17" t="s">
        <v>28</v>
      </c>
      <c r="F907" s="17" t="s">
        <v>29</v>
      </c>
      <c r="G907">
        <v>1</v>
      </c>
      <c r="H907">
        <v>240000</v>
      </c>
      <c r="I907">
        <v>150000</v>
      </c>
      <c r="J907">
        <v>0</v>
      </c>
      <c r="K907" s="17">
        <f>(Fact_Ventas_Detalle[[#This Row],[Cantidad]]*Fact_Ventas_Detalle[[#This Row],[Precio Unitario]])-Fact_Ventas_Detalle[[#This Row],[Descuento Linea]]</f>
        <v>240000</v>
      </c>
    </row>
    <row r="908" spans="1:11" x14ac:dyDescent="0.25">
      <c r="A908">
        <v>84</v>
      </c>
      <c r="B908" s="17" t="s">
        <v>279</v>
      </c>
      <c r="C908">
        <v>1</v>
      </c>
      <c r="D908" s="17" t="s">
        <v>37</v>
      </c>
      <c r="E908" s="17" t="s">
        <v>38</v>
      </c>
      <c r="F908" s="17" t="s">
        <v>33</v>
      </c>
      <c r="G908">
        <v>1</v>
      </c>
      <c r="H908">
        <v>45000</v>
      </c>
      <c r="I908">
        <v>22000</v>
      </c>
      <c r="J908">
        <v>0</v>
      </c>
      <c r="K908" s="17">
        <f>(Fact_Ventas_Detalle[[#This Row],[Cantidad]]*Fact_Ventas_Detalle[[#This Row],[Precio Unitario]])-Fact_Ventas_Detalle[[#This Row],[Descuento Linea]]</f>
        <v>45000</v>
      </c>
    </row>
    <row r="909" spans="1:11" x14ac:dyDescent="0.25">
      <c r="A909">
        <v>84</v>
      </c>
      <c r="B909" s="17" t="s">
        <v>563</v>
      </c>
      <c r="C909">
        <v>1</v>
      </c>
      <c r="D909" s="17" t="s">
        <v>31</v>
      </c>
      <c r="E909" s="17" t="s">
        <v>32</v>
      </c>
      <c r="F909" s="17" t="s">
        <v>33</v>
      </c>
      <c r="G909">
        <v>1</v>
      </c>
      <c r="H909">
        <v>25000</v>
      </c>
      <c r="I909">
        <v>11000</v>
      </c>
      <c r="J909">
        <v>0</v>
      </c>
      <c r="K909" s="17">
        <f>(Fact_Ventas_Detalle[[#This Row],[Cantidad]]*Fact_Ventas_Detalle[[#This Row],[Precio Unitario]])-Fact_Ventas_Detalle[[#This Row],[Descuento Linea]]</f>
        <v>25000</v>
      </c>
    </row>
    <row r="910" spans="1:11" x14ac:dyDescent="0.25">
      <c r="A910">
        <v>84</v>
      </c>
      <c r="B910" s="17" t="s">
        <v>276</v>
      </c>
      <c r="C910">
        <v>3</v>
      </c>
      <c r="D910" s="17" t="s">
        <v>31</v>
      </c>
      <c r="E910" s="17" t="s">
        <v>32</v>
      </c>
      <c r="F910" s="17" t="s">
        <v>33</v>
      </c>
      <c r="G910">
        <v>1</v>
      </c>
      <c r="H910">
        <v>25000</v>
      </c>
      <c r="I910">
        <v>11000</v>
      </c>
      <c r="J910">
        <v>0</v>
      </c>
      <c r="K910" s="17">
        <f>(Fact_Ventas_Detalle[[#This Row],[Cantidad]]*Fact_Ventas_Detalle[[#This Row],[Precio Unitario]])-Fact_Ventas_Detalle[[#This Row],[Descuento Linea]]</f>
        <v>25000</v>
      </c>
    </row>
    <row r="911" spans="1:11" x14ac:dyDescent="0.25">
      <c r="A911">
        <v>84</v>
      </c>
      <c r="B911" s="17" t="s">
        <v>815</v>
      </c>
      <c r="C911">
        <v>3</v>
      </c>
      <c r="D911" s="17" t="s">
        <v>24</v>
      </c>
      <c r="E911" s="17" t="s">
        <v>25</v>
      </c>
      <c r="F911" s="17" t="s">
        <v>14</v>
      </c>
      <c r="G911">
        <v>2</v>
      </c>
      <c r="H911">
        <v>850000</v>
      </c>
      <c r="I911">
        <v>620000</v>
      </c>
      <c r="J911">
        <v>0</v>
      </c>
      <c r="K911" s="17">
        <f>(Fact_Ventas_Detalle[[#This Row],[Cantidad]]*Fact_Ventas_Detalle[[#This Row],[Precio Unitario]])-Fact_Ventas_Detalle[[#This Row],[Descuento Linea]]</f>
        <v>1700000</v>
      </c>
    </row>
    <row r="912" spans="1:11" x14ac:dyDescent="0.25">
      <c r="A912">
        <v>85</v>
      </c>
      <c r="B912" s="17" t="s">
        <v>712</v>
      </c>
      <c r="C912">
        <v>1</v>
      </c>
      <c r="D912" s="17" t="s">
        <v>17</v>
      </c>
      <c r="E912" s="17" t="s">
        <v>18</v>
      </c>
      <c r="F912" s="17" t="s">
        <v>19</v>
      </c>
      <c r="G912">
        <v>2</v>
      </c>
      <c r="H912">
        <v>65000</v>
      </c>
      <c r="I912">
        <v>35000</v>
      </c>
      <c r="J912">
        <v>0</v>
      </c>
      <c r="K912" s="17">
        <f>(Fact_Ventas_Detalle[[#This Row],[Cantidad]]*Fact_Ventas_Detalle[[#This Row],[Precio Unitario]])-Fact_Ventas_Detalle[[#This Row],[Descuento Linea]]</f>
        <v>130000</v>
      </c>
    </row>
    <row r="913" spans="1:11" x14ac:dyDescent="0.25">
      <c r="A913">
        <v>85</v>
      </c>
      <c r="B913" s="17" t="s">
        <v>563</v>
      </c>
      <c r="C913">
        <v>2</v>
      </c>
      <c r="D913" s="17" t="s">
        <v>27</v>
      </c>
      <c r="E913" s="17" t="s">
        <v>28</v>
      </c>
      <c r="F913" s="17" t="s">
        <v>29</v>
      </c>
      <c r="G913">
        <v>1</v>
      </c>
      <c r="H913">
        <v>240000</v>
      </c>
      <c r="I913">
        <v>150000</v>
      </c>
      <c r="J913">
        <v>0</v>
      </c>
      <c r="K913" s="17">
        <f>(Fact_Ventas_Detalle[[#This Row],[Cantidad]]*Fact_Ventas_Detalle[[#This Row],[Precio Unitario]])-Fact_Ventas_Detalle[[#This Row],[Descuento Linea]]</f>
        <v>240000</v>
      </c>
    </row>
    <row r="914" spans="1:11" x14ac:dyDescent="0.25">
      <c r="A914">
        <v>85</v>
      </c>
      <c r="B914" s="17" t="s">
        <v>276</v>
      </c>
      <c r="C914">
        <v>4</v>
      </c>
      <c r="D914" s="17" t="s">
        <v>31</v>
      </c>
      <c r="E914" s="17" t="s">
        <v>32</v>
      </c>
      <c r="F914" s="17" t="s">
        <v>33</v>
      </c>
      <c r="G914">
        <v>2</v>
      </c>
      <c r="H914">
        <v>25000</v>
      </c>
      <c r="I914">
        <v>11000</v>
      </c>
      <c r="J914">
        <v>0</v>
      </c>
      <c r="K914" s="17">
        <f>(Fact_Ventas_Detalle[[#This Row],[Cantidad]]*Fact_Ventas_Detalle[[#This Row],[Precio Unitario]])-Fact_Ventas_Detalle[[#This Row],[Descuento Linea]]</f>
        <v>50000</v>
      </c>
    </row>
    <row r="915" spans="1:11" x14ac:dyDescent="0.25">
      <c r="A915">
        <v>85</v>
      </c>
      <c r="B915" s="17" t="s">
        <v>278</v>
      </c>
      <c r="C915">
        <v>2</v>
      </c>
      <c r="D915" s="17" t="s">
        <v>12</v>
      </c>
      <c r="E915" s="17" t="s">
        <v>13</v>
      </c>
      <c r="F915" s="17" t="s">
        <v>14</v>
      </c>
      <c r="G915">
        <v>2</v>
      </c>
      <c r="H915">
        <v>280000</v>
      </c>
      <c r="I915">
        <v>190000</v>
      </c>
      <c r="J915">
        <v>56000</v>
      </c>
      <c r="K915" s="17">
        <f>(Fact_Ventas_Detalle[[#This Row],[Cantidad]]*Fact_Ventas_Detalle[[#This Row],[Precio Unitario]])-Fact_Ventas_Detalle[[#This Row],[Descuento Linea]]</f>
        <v>504000</v>
      </c>
    </row>
    <row r="916" spans="1:11" x14ac:dyDescent="0.25">
      <c r="A916">
        <v>85</v>
      </c>
      <c r="B916" s="17" t="s">
        <v>280</v>
      </c>
      <c r="C916">
        <v>1</v>
      </c>
      <c r="D916" s="17" t="s">
        <v>27</v>
      </c>
      <c r="E916" s="17" t="s">
        <v>28</v>
      </c>
      <c r="F916" s="17" t="s">
        <v>29</v>
      </c>
      <c r="G916">
        <v>2</v>
      </c>
      <c r="H916">
        <v>240000</v>
      </c>
      <c r="I916">
        <v>150000</v>
      </c>
      <c r="J916">
        <v>24000</v>
      </c>
      <c r="K916" s="17">
        <f>(Fact_Ventas_Detalle[[#This Row],[Cantidad]]*Fact_Ventas_Detalle[[#This Row],[Precio Unitario]])-Fact_Ventas_Detalle[[#This Row],[Descuento Linea]]</f>
        <v>456000</v>
      </c>
    </row>
    <row r="917" spans="1:11" x14ac:dyDescent="0.25">
      <c r="A917">
        <v>86</v>
      </c>
      <c r="B917" s="17" t="s">
        <v>549</v>
      </c>
      <c r="C917">
        <v>1</v>
      </c>
      <c r="D917" s="17" t="s">
        <v>24</v>
      </c>
      <c r="E917" s="17" t="s">
        <v>25</v>
      </c>
      <c r="F917" s="17" t="s">
        <v>14</v>
      </c>
      <c r="G917">
        <v>2</v>
      </c>
      <c r="H917">
        <v>850000</v>
      </c>
      <c r="I917">
        <v>620000</v>
      </c>
      <c r="J917">
        <v>0</v>
      </c>
      <c r="K917" s="17">
        <f>(Fact_Ventas_Detalle[[#This Row],[Cantidad]]*Fact_Ventas_Detalle[[#This Row],[Precio Unitario]])-Fact_Ventas_Detalle[[#This Row],[Descuento Linea]]</f>
        <v>1700000</v>
      </c>
    </row>
    <row r="918" spans="1:11" x14ac:dyDescent="0.25">
      <c r="A918">
        <v>86</v>
      </c>
      <c r="B918" s="17" t="s">
        <v>563</v>
      </c>
      <c r="C918">
        <v>3</v>
      </c>
      <c r="D918" s="17" t="s">
        <v>12</v>
      </c>
      <c r="E918" s="17" t="s">
        <v>13</v>
      </c>
      <c r="F918" s="17" t="s">
        <v>14</v>
      </c>
      <c r="G918">
        <v>2</v>
      </c>
      <c r="H918">
        <v>280000</v>
      </c>
      <c r="I918">
        <v>190000</v>
      </c>
      <c r="J918">
        <v>56000</v>
      </c>
      <c r="K918" s="17">
        <f>(Fact_Ventas_Detalle[[#This Row],[Cantidad]]*Fact_Ventas_Detalle[[#This Row],[Precio Unitario]])-Fact_Ventas_Detalle[[#This Row],[Descuento Linea]]</f>
        <v>504000</v>
      </c>
    </row>
    <row r="919" spans="1:11" x14ac:dyDescent="0.25">
      <c r="A919">
        <v>86</v>
      </c>
      <c r="B919" s="17" t="s">
        <v>280</v>
      </c>
      <c r="C919">
        <v>2</v>
      </c>
      <c r="D919" s="17" t="s">
        <v>24</v>
      </c>
      <c r="E919" s="17" t="s">
        <v>25</v>
      </c>
      <c r="F919" s="17" t="s">
        <v>14</v>
      </c>
      <c r="G919">
        <v>3</v>
      </c>
      <c r="H919">
        <v>850000</v>
      </c>
      <c r="I919">
        <v>620000</v>
      </c>
      <c r="J919">
        <v>127500</v>
      </c>
      <c r="K919" s="17">
        <f>(Fact_Ventas_Detalle[[#This Row],[Cantidad]]*Fact_Ventas_Detalle[[#This Row],[Precio Unitario]])-Fact_Ventas_Detalle[[#This Row],[Descuento Linea]]</f>
        <v>2422500</v>
      </c>
    </row>
    <row r="920" spans="1:11" x14ac:dyDescent="0.25">
      <c r="A920">
        <v>86</v>
      </c>
      <c r="B920" s="17" t="s">
        <v>281</v>
      </c>
      <c r="C920">
        <v>1</v>
      </c>
      <c r="D920" s="17" t="s">
        <v>39</v>
      </c>
      <c r="E920" s="17" t="s">
        <v>40</v>
      </c>
      <c r="F920" s="17" t="s">
        <v>14</v>
      </c>
      <c r="G920">
        <v>2</v>
      </c>
      <c r="H920">
        <v>75000</v>
      </c>
      <c r="I920">
        <v>42000</v>
      </c>
      <c r="J920">
        <v>7500</v>
      </c>
      <c r="K920" s="17">
        <f>(Fact_Ventas_Detalle[[#This Row],[Cantidad]]*Fact_Ventas_Detalle[[#This Row],[Precio Unitario]])-Fact_Ventas_Detalle[[#This Row],[Descuento Linea]]</f>
        <v>142500</v>
      </c>
    </row>
    <row r="921" spans="1:11" x14ac:dyDescent="0.25">
      <c r="A921">
        <v>86</v>
      </c>
      <c r="B921" s="17" t="s">
        <v>282</v>
      </c>
      <c r="C921">
        <v>1</v>
      </c>
      <c r="D921" s="17" t="s">
        <v>12</v>
      </c>
      <c r="E921" s="17" t="s">
        <v>13</v>
      </c>
      <c r="F921" s="17" t="s">
        <v>14</v>
      </c>
      <c r="G921">
        <v>1</v>
      </c>
      <c r="H921">
        <v>280000</v>
      </c>
      <c r="I921">
        <v>190000</v>
      </c>
      <c r="J921">
        <v>28000</v>
      </c>
      <c r="K921" s="17">
        <f>(Fact_Ventas_Detalle[[#This Row],[Cantidad]]*Fact_Ventas_Detalle[[#This Row],[Precio Unitario]])-Fact_Ventas_Detalle[[#This Row],[Descuento Linea]]</f>
        <v>252000</v>
      </c>
    </row>
    <row r="922" spans="1:11" x14ac:dyDescent="0.25">
      <c r="A922">
        <v>87</v>
      </c>
      <c r="B922" s="17" t="s">
        <v>283</v>
      </c>
      <c r="C922">
        <v>1</v>
      </c>
      <c r="D922" s="17" t="s">
        <v>39</v>
      </c>
      <c r="E922" s="17" t="s">
        <v>40</v>
      </c>
      <c r="F922" s="17" t="s">
        <v>14</v>
      </c>
      <c r="G922">
        <v>1</v>
      </c>
      <c r="H922">
        <v>75000</v>
      </c>
      <c r="I922">
        <v>42000</v>
      </c>
      <c r="J922">
        <v>0</v>
      </c>
      <c r="K922" s="17">
        <f>(Fact_Ventas_Detalle[[#This Row],[Cantidad]]*Fact_Ventas_Detalle[[#This Row],[Precio Unitario]])-Fact_Ventas_Detalle[[#This Row],[Descuento Linea]]</f>
        <v>75000</v>
      </c>
    </row>
    <row r="923" spans="1:11" x14ac:dyDescent="0.25">
      <c r="A923">
        <v>87</v>
      </c>
      <c r="B923" s="17" t="s">
        <v>280</v>
      </c>
      <c r="C923">
        <v>3</v>
      </c>
      <c r="D923" s="17" t="s">
        <v>12</v>
      </c>
      <c r="E923" s="17" t="s">
        <v>13</v>
      </c>
      <c r="F923" s="17" t="s">
        <v>14</v>
      </c>
      <c r="G923">
        <v>2</v>
      </c>
      <c r="H923">
        <v>280000</v>
      </c>
      <c r="I923">
        <v>190000</v>
      </c>
      <c r="J923">
        <v>0</v>
      </c>
      <c r="K923" s="17">
        <f>(Fact_Ventas_Detalle[[#This Row],[Cantidad]]*Fact_Ventas_Detalle[[#This Row],[Precio Unitario]])-Fact_Ventas_Detalle[[#This Row],[Descuento Linea]]</f>
        <v>560000</v>
      </c>
    </row>
    <row r="924" spans="1:11" x14ac:dyDescent="0.25">
      <c r="A924">
        <v>87</v>
      </c>
      <c r="B924" s="17" t="s">
        <v>281</v>
      </c>
      <c r="C924">
        <v>2</v>
      </c>
      <c r="D924" s="17" t="s">
        <v>27</v>
      </c>
      <c r="E924" s="17" t="s">
        <v>28</v>
      </c>
      <c r="F924" s="17" t="s">
        <v>29</v>
      </c>
      <c r="G924">
        <v>2</v>
      </c>
      <c r="H924">
        <v>240000</v>
      </c>
      <c r="I924">
        <v>150000</v>
      </c>
      <c r="J924">
        <v>24000</v>
      </c>
      <c r="K924" s="17">
        <f>(Fact_Ventas_Detalle[[#This Row],[Cantidad]]*Fact_Ventas_Detalle[[#This Row],[Precio Unitario]])-Fact_Ventas_Detalle[[#This Row],[Descuento Linea]]</f>
        <v>456000</v>
      </c>
    </row>
    <row r="925" spans="1:11" x14ac:dyDescent="0.25">
      <c r="A925">
        <v>87</v>
      </c>
      <c r="B925" s="17" t="s">
        <v>549</v>
      </c>
      <c r="C925">
        <v>2</v>
      </c>
      <c r="D925" s="17" t="s">
        <v>12</v>
      </c>
      <c r="E925" s="17" t="s">
        <v>13</v>
      </c>
      <c r="F925" s="17" t="s">
        <v>14</v>
      </c>
      <c r="G925">
        <v>2</v>
      </c>
      <c r="H925">
        <v>280000</v>
      </c>
      <c r="I925">
        <v>190000</v>
      </c>
      <c r="J925">
        <v>56000</v>
      </c>
      <c r="K925" s="17">
        <f>(Fact_Ventas_Detalle[[#This Row],[Cantidad]]*Fact_Ventas_Detalle[[#This Row],[Precio Unitario]])-Fact_Ventas_Detalle[[#This Row],[Descuento Linea]]</f>
        <v>504000</v>
      </c>
    </row>
    <row r="926" spans="1:11" x14ac:dyDescent="0.25">
      <c r="A926">
        <v>87</v>
      </c>
      <c r="B926" s="17" t="s">
        <v>460</v>
      </c>
      <c r="C926">
        <v>1</v>
      </c>
      <c r="D926" s="17" t="s">
        <v>17</v>
      </c>
      <c r="E926" s="17" t="s">
        <v>18</v>
      </c>
      <c r="F926" s="17" t="s">
        <v>19</v>
      </c>
      <c r="G926">
        <v>1</v>
      </c>
      <c r="H926">
        <v>65000</v>
      </c>
      <c r="I926">
        <v>35000</v>
      </c>
      <c r="J926">
        <v>6500</v>
      </c>
      <c r="K926" s="17">
        <f>(Fact_Ventas_Detalle[[#This Row],[Cantidad]]*Fact_Ventas_Detalle[[#This Row],[Precio Unitario]])-Fact_Ventas_Detalle[[#This Row],[Descuento Linea]]</f>
        <v>58500</v>
      </c>
    </row>
    <row r="927" spans="1:11" x14ac:dyDescent="0.25">
      <c r="A927">
        <v>88</v>
      </c>
      <c r="B927" s="17" t="s">
        <v>285</v>
      </c>
      <c r="C927">
        <v>1</v>
      </c>
      <c r="D927" s="17" t="s">
        <v>37</v>
      </c>
      <c r="E927" s="17" t="s">
        <v>38</v>
      </c>
      <c r="F927" s="17" t="s">
        <v>33</v>
      </c>
      <c r="G927">
        <v>3</v>
      </c>
      <c r="H927">
        <v>45000</v>
      </c>
      <c r="I927">
        <v>22000</v>
      </c>
      <c r="J927">
        <v>0</v>
      </c>
      <c r="K927" s="17">
        <f>(Fact_Ventas_Detalle[[#This Row],[Cantidad]]*Fact_Ventas_Detalle[[#This Row],[Precio Unitario]])-Fact_Ventas_Detalle[[#This Row],[Descuento Linea]]</f>
        <v>135000</v>
      </c>
    </row>
    <row r="928" spans="1:11" x14ac:dyDescent="0.25">
      <c r="A928">
        <v>88</v>
      </c>
      <c r="B928" s="17" t="s">
        <v>284</v>
      </c>
      <c r="C928">
        <v>1</v>
      </c>
      <c r="D928" s="17" t="s">
        <v>42</v>
      </c>
      <c r="E928" s="17" t="s">
        <v>43</v>
      </c>
      <c r="F928" s="17" t="s">
        <v>29</v>
      </c>
      <c r="G928">
        <v>1</v>
      </c>
      <c r="H928">
        <v>185000</v>
      </c>
      <c r="I928">
        <v>115000</v>
      </c>
      <c r="J928">
        <v>0</v>
      </c>
      <c r="K928" s="17">
        <f>(Fact_Ventas_Detalle[[#This Row],[Cantidad]]*Fact_Ventas_Detalle[[#This Row],[Precio Unitario]])-Fact_Ventas_Detalle[[#This Row],[Descuento Linea]]</f>
        <v>185000</v>
      </c>
    </row>
    <row r="929" spans="1:11" x14ac:dyDescent="0.25">
      <c r="A929">
        <v>88</v>
      </c>
      <c r="B929" s="17" t="s">
        <v>460</v>
      </c>
      <c r="C929">
        <v>2</v>
      </c>
      <c r="D929" s="17" t="s">
        <v>24</v>
      </c>
      <c r="E929" s="17" t="s">
        <v>25</v>
      </c>
      <c r="F929" s="17" t="s">
        <v>14</v>
      </c>
      <c r="G929">
        <v>3</v>
      </c>
      <c r="H929">
        <v>850000</v>
      </c>
      <c r="I929">
        <v>620000</v>
      </c>
      <c r="J929">
        <v>0</v>
      </c>
      <c r="K929" s="17">
        <f>(Fact_Ventas_Detalle[[#This Row],[Cantidad]]*Fact_Ventas_Detalle[[#This Row],[Precio Unitario]])-Fact_Ventas_Detalle[[#This Row],[Descuento Linea]]</f>
        <v>2550000</v>
      </c>
    </row>
    <row r="930" spans="1:11" x14ac:dyDescent="0.25">
      <c r="A930">
        <v>88</v>
      </c>
      <c r="B930" s="17" t="s">
        <v>281</v>
      </c>
      <c r="C930">
        <v>3</v>
      </c>
      <c r="D930" s="17" t="s">
        <v>31</v>
      </c>
      <c r="E930" s="17" t="s">
        <v>32</v>
      </c>
      <c r="F930" s="17" t="s">
        <v>33</v>
      </c>
      <c r="G930">
        <v>3</v>
      </c>
      <c r="H930">
        <v>25000</v>
      </c>
      <c r="I930">
        <v>11000</v>
      </c>
      <c r="J930">
        <v>0</v>
      </c>
      <c r="K930" s="17">
        <f>(Fact_Ventas_Detalle[[#This Row],[Cantidad]]*Fact_Ventas_Detalle[[#This Row],[Precio Unitario]])-Fact_Ventas_Detalle[[#This Row],[Descuento Linea]]</f>
        <v>75000</v>
      </c>
    </row>
    <row r="931" spans="1:11" x14ac:dyDescent="0.25">
      <c r="A931">
        <v>88</v>
      </c>
      <c r="B931" s="17" t="s">
        <v>549</v>
      </c>
      <c r="C931">
        <v>3</v>
      </c>
      <c r="D931" s="17" t="s">
        <v>24</v>
      </c>
      <c r="E931" s="17" t="s">
        <v>25</v>
      </c>
      <c r="F931" s="17" t="s">
        <v>14</v>
      </c>
      <c r="G931">
        <v>3</v>
      </c>
      <c r="H931">
        <v>850000</v>
      </c>
      <c r="I931">
        <v>620000</v>
      </c>
      <c r="J931">
        <v>255000</v>
      </c>
      <c r="K931" s="17">
        <f>(Fact_Ventas_Detalle[[#This Row],[Cantidad]]*Fact_Ventas_Detalle[[#This Row],[Precio Unitario]])-Fact_Ventas_Detalle[[#This Row],[Descuento Linea]]</f>
        <v>2295000</v>
      </c>
    </row>
    <row r="932" spans="1:11" x14ac:dyDescent="0.25">
      <c r="A932">
        <v>89</v>
      </c>
      <c r="B932" s="17" t="s">
        <v>285</v>
      </c>
      <c r="C932">
        <v>2</v>
      </c>
      <c r="D932" s="17" t="s">
        <v>31</v>
      </c>
      <c r="E932" s="17" t="s">
        <v>32</v>
      </c>
      <c r="F932" s="17" t="s">
        <v>33</v>
      </c>
      <c r="G932">
        <v>2</v>
      </c>
      <c r="H932">
        <v>25000</v>
      </c>
      <c r="I932">
        <v>11000</v>
      </c>
      <c r="J932">
        <v>0</v>
      </c>
      <c r="K932" s="17">
        <f>(Fact_Ventas_Detalle[[#This Row],[Cantidad]]*Fact_Ventas_Detalle[[#This Row],[Precio Unitario]])-Fact_Ventas_Detalle[[#This Row],[Descuento Linea]]</f>
        <v>50000</v>
      </c>
    </row>
    <row r="933" spans="1:11" x14ac:dyDescent="0.25">
      <c r="A933">
        <v>89</v>
      </c>
      <c r="B933" s="17" t="s">
        <v>460</v>
      </c>
      <c r="C933">
        <v>3</v>
      </c>
      <c r="D933" s="17" t="s">
        <v>27</v>
      </c>
      <c r="E933" s="17" t="s">
        <v>28</v>
      </c>
      <c r="F933" s="17" t="s">
        <v>29</v>
      </c>
      <c r="G933">
        <v>1</v>
      </c>
      <c r="H933">
        <v>240000</v>
      </c>
      <c r="I933">
        <v>150000</v>
      </c>
      <c r="J933">
        <v>0</v>
      </c>
      <c r="K933" s="17">
        <f>(Fact_Ventas_Detalle[[#This Row],[Cantidad]]*Fact_Ventas_Detalle[[#This Row],[Precio Unitario]])-Fact_Ventas_Detalle[[#This Row],[Descuento Linea]]</f>
        <v>240000</v>
      </c>
    </row>
    <row r="934" spans="1:11" x14ac:dyDescent="0.25">
      <c r="A934">
        <v>89</v>
      </c>
      <c r="B934" s="17" t="s">
        <v>281</v>
      </c>
      <c r="C934">
        <v>4</v>
      </c>
      <c r="D934" s="17" t="s">
        <v>27</v>
      </c>
      <c r="E934" s="17" t="s">
        <v>28</v>
      </c>
      <c r="F934" s="17" t="s">
        <v>29</v>
      </c>
      <c r="G934">
        <v>1</v>
      </c>
      <c r="H934">
        <v>240000</v>
      </c>
      <c r="I934">
        <v>150000</v>
      </c>
      <c r="J934">
        <v>24000</v>
      </c>
      <c r="K934" s="17">
        <f>(Fact_Ventas_Detalle[[#This Row],[Cantidad]]*Fact_Ventas_Detalle[[#This Row],[Precio Unitario]])-Fact_Ventas_Detalle[[#This Row],[Descuento Linea]]</f>
        <v>216000</v>
      </c>
    </row>
    <row r="935" spans="1:11" x14ac:dyDescent="0.25">
      <c r="A935">
        <v>89</v>
      </c>
      <c r="B935" s="17" t="s">
        <v>284</v>
      </c>
      <c r="C935">
        <v>2</v>
      </c>
      <c r="D935" s="17" t="s">
        <v>42</v>
      </c>
      <c r="E935" s="17" t="s">
        <v>43</v>
      </c>
      <c r="F935" s="17" t="s">
        <v>29</v>
      </c>
      <c r="G935">
        <v>2</v>
      </c>
      <c r="H935">
        <v>185000</v>
      </c>
      <c r="I935">
        <v>115000</v>
      </c>
      <c r="J935">
        <v>37000</v>
      </c>
      <c r="K935" s="17">
        <f>(Fact_Ventas_Detalle[[#This Row],[Cantidad]]*Fact_Ventas_Detalle[[#This Row],[Precio Unitario]])-Fact_Ventas_Detalle[[#This Row],[Descuento Linea]]</f>
        <v>333000</v>
      </c>
    </row>
    <row r="936" spans="1:11" x14ac:dyDescent="0.25">
      <c r="A936">
        <v>89</v>
      </c>
      <c r="B936" s="17" t="s">
        <v>623</v>
      </c>
      <c r="C936">
        <v>1</v>
      </c>
      <c r="D936" s="17" t="s">
        <v>37</v>
      </c>
      <c r="E936" s="17" t="s">
        <v>38</v>
      </c>
      <c r="F936" s="17" t="s">
        <v>33</v>
      </c>
      <c r="G936">
        <v>2</v>
      </c>
      <c r="H936">
        <v>45000</v>
      </c>
      <c r="I936">
        <v>22000</v>
      </c>
      <c r="J936">
        <v>9000</v>
      </c>
      <c r="K936" s="17">
        <f>(Fact_Ventas_Detalle[[#This Row],[Cantidad]]*Fact_Ventas_Detalle[[#This Row],[Precio Unitario]])-Fact_Ventas_Detalle[[#This Row],[Descuento Linea]]</f>
        <v>81000</v>
      </c>
    </row>
    <row r="937" spans="1:11" x14ac:dyDescent="0.25">
      <c r="A937">
        <v>90</v>
      </c>
      <c r="B937" s="17" t="s">
        <v>286</v>
      </c>
      <c r="C937">
        <v>1</v>
      </c>
      <c r="D937" s="17" t="s">
        <v>37</v>
      </c>
      <c r="E937" s="17" t="s">
        <v>38</v>
      </c>
      <c r="F937" s="17" t="s">
        <v>33</v>
      </c>
      <c r="G937">
        <v>3</v>
      </c>
      <c r="H937">
        <v>45000</v>
      </c>
      <c r="I937">
        <v>22000</v>
      </c>
      <c r="J937">
        <v>0</v>
      </c>
      <c r="K937" s="17">
        <f>(Fact_Ventas_Detalle[[#This Row],[Cantidad]]*Fact_Ventas_Detalle[[#This Row],[Precio Unitario]])-Fact_Ventas_Detalle[[#This Row],[Descuento Linea]]</f>
        <v>135000</v>
      </c>
    </row>
    <row r="938" spans="1:11" x14ac:dyDescent="0.25">
      <c r="A938">
        <v>90</v>
      </c>
      <c r="B938" s="17" t="s">
        <v>623</v>
      </c>
      <c r="C938">
        <v>2</v>
      </c>
      <c r="D938" s="17" t="s">
        <v>24</v>
      </c>
      <c r="E938" s="17" t="s">
        <v>25</v>
      </c>
      <c r="F938" s="17" t="s">
        <v>14</v>
      </c>
      <c r="G938">
        <v>2</v>
      </c>
      <c r="H938">
        <v>850000</v>
      </c>
      <c r="I938">
        <v>620000</v>
      </c>
      <c r="J938">
        <v>0</v>
      </c>
      <c r="K938" s="17">
        <f>(Fact_Ventas_Detalle[[#This Row],[Cantidad]]*Fact_Ventas_Detalle[[#This Row],[Precio Unitario]])-Fact_Ventas_Detalle[[#This Row],[Descuento Linea]]</f>
        <v>1700000</v>
      </c>
    </row>
    <row r="939" spans="1:11" x14ac:dyDescent="0.25">
      <c r="A939">
        <v>90</v>
      </c>
      <c r="B939" s="17" t="s">
        <v>460</v>
      </c>
      <c r="C939">
        <v>4</v>
      </c>
      <c r="D939" s="17" t="s">
        <v>39</v>
      </c>
      <c r="E939" s="17" t="s">
        <v>40</v>
      </c>
      <c r="F939" s="17" t="s">
        <v>14</v>
      </c>
      <c r="G939">
        <v>3</v>
      </c>
      <c r="H939">
        <v>75000</v>
      </c>
      <c r="I939">
        <v>42000</v>
      </c>
      <c r="J939">
        <v>0</v>
      </c>
      <c r="K939" s="17">
        <f>(Fact_Ventas_Detalle[[#This Row],[Cantidad]]*Fact_Ventas_Detalle[[#This Row],[Precio Unitario]])-Fact_Ventas_Detalle[[#This Row],[Descuento Linea]]</f>
        <v>225000</v>
      </c>
    </row>
    <row r="940" spans="1:11" x14ac:dyDescent="0.25">
      <c r="A940">
        <v>90</v>
      </c>
      <c r="B940" s="17" t="s">
        <v>287</v>
      </c>
      <c r="C940">
        <v>1</v>
      </c>
      <c r="D940" s="17" t="s">
        <v>31</v>
      </c>
      <c r="E940" s="17" t="s">
        <v>32</v>
      </c>
      <c r="F940" s="17" t="s">
        <v>33</v>
      </c>
      <c r="G940">
        <v>2</v>
      </c>
      <c r="H940">
        <v>25000</v>
      </c>
      <c r="I940">
        <v>11000</v>
      </c>
      <c r="J940">
        <v>5000</v>
      </c>
      <c r="K940" s="17">
        <f>(Fact_Ventas_Detalle[[#This Row],[Cantidad]]*Fact_Ventas_Detalle[[#This Row],[Precio Unitario]])-Fact_Ventas_Detalle[[#This Row],[Descuento Linea]]</f>
        <v>45000</v>
      </c>
    </row>
    <row r="941" spans="1:11" x14ac:dyDescent="0.25">
      <c r="A941">
        <v>91</v>
      </c>
      <c r="B941" s="17" t="s">
        <v>623</v>
      </c>
      <c r="C941">
        <v>3</v>
      </c>
      <c r="D941" s="17" t="s">
        <v>37</v>
      </c>
      <c r="E941" s="17" t="s">
        <v>38</v>
      </c>
      <c r="F941" s="17" t="s">
        <v>33</v>
      </c>
      <c r="G941">
        <v>3</v>
      </c>
      <c r="H941">
        <v>45000</v>
      </c>
      <c r="I941">
        <v>22000</v>
      </c>
      <c r="J941">
        <v>6750</v>
      </c>
      <c r="K941" s="17">
        <f>(Fact_Ventas_Detalle[[#This Row],[Cantidad]]*Fact_Ventas_Detalle[[#This Row],[Precio Unitario]])-Fact_Ventas_Detalle[[#This Row],[Descuento Linea]]</f>
        <v>128250</v>
      </c>
    </row>
    <row r="942" spans="1:11" x14ac:dyDescent="0.25">
      <c r="A942">
        <v>91</v>
      </c>
      <c r="B942" s="17" t="s">
        <v>286</v>
      </c>
      <c r="C942">
        <v>2</v>
      </c>
      <c r="D942" s="17" t="s">
        <v>27</v>
      </c>
      <c r="E942" s="17" t="s">
        <v>28</v>
      </c>
      <c r="F942" s="17" t="s">
        <v>29</v>
      </c>
      <c r="G942">
        <v>3</v>
      </c>
      <c r="H942">
        <v>240000</v>
      </c>
      <c r="I942">
        <v>150000</v>
      </c>
      <c r="J942">
        <v>36000</v>
      </c>
      <c r="K942" s="17">
        <f>(Fact_Ventas_Detalle[[#This Row],[Cantidad]]*Fact_Ventas_Detalle[[#This Row],[Precio Unitario]])-Fact_Ventas_Detalle[[#This Row],[Descuento Linea]]</f>
        <v>684000</v>
      </c>
    </row>
    <row r="943" spans="1:11" x14ac:dyDescent="0.25">
      <c r="A943">
        <v>91</v>
      </c>
      <c r="B943" s="17" t="s">
        <v>287</v>
      </c>
      <c r="C943">
        <v>2</v>
      </c>
      <c r="D943" s="17" t="s">
        <v>12</v>
      </c>
      <c r="E943" s="17" t="s">
        <v>13</v>
      </c>
      <c r="F943" s="17" t="s">
        <v>14</v>
      </c>
      <c r="G943">
        <v>3</v>
      </c>
      <c r="H943">
        <v>280000</v>
      </c>
      <c r="I943">
        <v>190000</v>
      </c>
      <c r="J943">
        <v>84000</v>
      </c>
      <c r="K943" s="17">
        <f>(Fact_Ventas_Detalle[[#This Row],[Cantidad]]*Fact_Ventas_Detalle[[#This Row],[Precio Unitario]])-Fact_Ventas_Detalle[[#This Row],[Descuento Linea]]</f>
        <v>756000</v>
      </c>
    </row>
    <row r="944" spans="1:11" x14ac:dyDescent="0.25">
      <c r="A944">
        <v>91</v>
      </c>
      <c r="B944" s="17" t="s">
        <v>565</v>
      </c>
      <c r="C944">
        <v>1</v>
      </c>
      <c r="D944" s="17" t="s">
        <v>24</v>
      </c>
      <c r="E944" s="17" t="s">
        <v>25</v>
      </c>
      <c r="F944" s="17" t="s">
        <v>14</v>
      </c>
      <c r="G944">
        <v>1</v>
      </c>
      <c r="H944">
        <v>850000</v>
      </c>
      <c r="I944">
        <v>620000</v>
      </c>
      <c r="J944">
        <v>85000</v>
      </c>
      <c r="K944" s="17">
        <f>(Fact_Ventas_Detalle[[#This Row],[Cantidad]]*Fact_Ventas_Detalle[[#This Row],[Precio Unitario]])-Fact_Ventas_Detalle[[#This Row],[Descuento Linea]]</f>
        <v>765000</v>
      </c>
    </row>
    <row r="945" spans="1:11" x14ac:dyDescent="0.25">
      <c r="A945">
        <v>92</v>
      </c>
      <c r="B945" s="17" t="s">
        <v>288</v>
      </c>
      <c r="C945">
        <v>1</v>
      </c>
      <c r="D945" s="17" t="s">
        <v>31</v>
      </c>
      <c r="E945" s="17" t="s">
        <v>32</v>
      </c>
      <c r="F945" s="17" t="s">
        <v>33</v>
      </c>
      <c r="G945">
        <v>3</v>
      </c>
      <c r="H945">
        <v>25000</v>
      </c>
      <c r="I945">
        <v>11000</v>
      </c>
      <c r="J945">
        <v>0</v>
      </c>
      <c r="K945" s="17">
        <f>(Fact_Ventas_Detalle[[#This Row],[Cantidad]]*Fact_Ventas_Detalle[[#This Row],[Precio Unitario]])-Fact_Ventas_Detalle[[#This Row],[Descuento Linea]]</f>
        <v>75000</v>
      </c>
    </row>
    <row r="946" spans="1:11" x14ac:dyDescent="0.25">
      <c r="A946">
        <v>92</v>
      </c>
      <c r="B946" s="17" t="s">
        <v>623</v>
      </c>
      <c r="C946">
        <v>4</v>
      </c>
      <c r="D946" s="17" t="s">
        <v>17</v>
      </c>
      <c r="E946" s="17" t="s">
        <v>18</v>
      </c>
      <c r="F946" s="17" t="s">
        <v>19</v>
      </c>
      <c r="G946">
        <v>1</v>
      </c>
      <c r="H946">
        <v>65000</v>
      </c>
      <c r="I946">
        <v>35000</v>
      </c>
      <c r="J946">
        <v>0</v>
      </c>
      <c r="K946" s="17">
        <f>(Fact_Ventas_Detalle[[#This Row],[Cantidad]]*Fact_Ventas_Detalle[[#This Row],[Precio Unitario]])-Fact_Ventas_Detalle[[#This Row],[Descuento Linea]]</f>
        <v>65000</v>
      </c>
    </row>
    <row r="947" spans="1:11" x14ac:dyDescent="0.25">
      <c r="A947">
        <v>92</v>
      </c>
      <c r="B947" s="17" t="s">
        <v>286</v>
      </c>
      <c r="C947">
        <v>3</v>
      </c>
      <c r="D947" s="17" t="s">
        <v>24</v>
      </c>
      <c r="E947" s="17" t="s">
        <v>25</v>
      </c>
      <c r="F947" s="17" t="s">
        <v>14</v>
      </c>
      <c r="G947">
        <v>2</v>
      </c>
      <c r="H947">
        <v>850000</v>
      </c>
      <c r="I947">
        <v>620000</v>
      </c>
      <c r="J947">
        <v>85000</v>
      </c>
      <c r="K947" s="17">
        <f>(Fact_Ventas_Detalle[[#This Row],[Cantidad]]*Fact_Ventas_Detalle[[#This Row],[Precio Unitario]])-Fact_Ventas_Detalle[[#This Row],[Descuento Linea]]</f>
        <v>1615000</v>
      </c>
    </row>
    <row r="948" spans="1:11" x14ac:dyDescent="0.25">
      <c r="A948">
        <v>92</v>
      </c>
      <c r="B948" s="17" t="s">
        <v>565</v>
      </c>
      <c r="C948">
        <v>2</v>
      </c>
      <c r="D948" s="17" t="s">
        <v>37</v>
      </c>
      <c r="E948" s="17" t="s">
        <v>38</v>
      </c>
      <c r="F948" s="17" t="s">
        <v>33</v>
      </c>
      <c r="G948">
        <v>1</v>
      </c>
      <c r="H948">
        <v>45000</v>
      </c>
      <c r="I948">
        <v>22000</v>
      </c>
      <c r="J948">
        <v>4500</v>
      </c>
      <c r="K948" s="17">
        <f>(Fact_Ventas_Detalle[[#This Row],[Cantidad]]*Fact_Ventas_Detalle[[#This Row],[Precio Unitario]])-Fact_Ventas_Detalle[[#This Row],[Descuento Linea]]</f>
        <v>40500</v>
      </c>
    </row>
    <row r="949" spans="1:11" x14ac:dyDescent="0.25">
      <c r="A949">
        <v>93</v>
      </c>
      <c r="B949" s="17" t="s">
        <v>289</v>
      </c>
      <c r="C949">
        <v>1</v>
      </c>
      <c r="D949" s="17" t="s">
        <v>12</v>
      </c>
      <c r="E949" s="17" t="s">
        <v>13</v>
      </c>
      <c r="F949" s="17" t="s">
        <v>14</v>
      </c>
      <c r="G949">
        <v>2</v>
      </c>
      <c r="H949">
        <v>280000</v>
      </c>
      <c r="I949">
        <v>190000</v>
      </c>
      <c r="J949">
        <v>0</v>
      </c>
      <c r="K949" s="17">
        <f>(Fact_Ventas_Detalle[[#This Row],[Cantidad]]*Fact_Ventas_Detalle[[#This Row],[Precio Unitario]])-Fact_Ventas_Detalle[[#This Row],[Descuento Linea]]</f>
        <v>560000</v>
      </c>
    </row>
    <row r="950" spans="1:11" x14ac:dyDescent="0.25">
      <c r="A950">
        <v>93</v>
      </c>
      <c r="B950" s="17" t="s">
        <v>551</v>
      </c>
      <c r="C950">
        <v>1</v>
      </c>
      <c r="D950" s="17" t="s">
        <v>42</v>
      </c>
      <c r="E950" s="17" t="s">
        <v>43</v>
      </c>
      <c r="F950" s="17" t="s">
        <v>29</v>
      </c>
      <c r="G950">
        <v>2</v>
      </c>
      <c r="H950">
        <v>185000</v>
      </c>
      <c r="I950">
        <v>115000</v>
      </c>
      <c r="J950">
        <v>0</v>
      </c>
      <c r="K950" s="17">
        <f>(Fact_Ventas_Detalle[[#This Row],[Cantidad]]*Fact_Ventas_Detalle[[#This Row],[Precio Unitario]])-Fact_Ventas_Detalle[[#This Row],[Descuento Linea]]</f>
        <v>370000</v>
      </c>
    </row>
    <row r="951" spans="1:11" x14ac:dyDescent="0.25">
      <c r="A951">
        <v>93</v>
      </c>
      <c r="B951" s="17" t="s">
        <v>288</v>
      </c>
      <c r="C951">
        <v>2</v>
      </c>
      <c r="D951" s="17" t="s">
        <v>24</v>
      </c>
      <c r="E951" s="17" t="s">
        <v>25</v>
      </c>
      <c r="F951" s="17" t="s">
        <v>14</v>
      </c>
      <c r="G951">
        <v>1</v>
      </c>
      <c r="H951">
        <v>850000</v>
      </c>
      <c r="I951">
        <v>620000</v>
      </c>
      <c r="J951">
        <v>0</v>
      </c>
      <c r="K951" s="17">
        <f>(Fact_Ventas_Detalle[[#This Row],[Cantidad]]*Fact_Ventas_Detalle[[#This Row],[Precio Unitario]])-Fact_Ventas_Detalle[[#This Row],[Descuento Linea]]</f>
        <v>850000</v>
      </c>
    </row>
    <row r="952" spans="1:11" x14ac:dyDescent="0.25">
      <c r="A952">
        <v>93</v>
      </c>
      <c r="B952" s="17" t="s">
        <v>565</v>
      </c>
      <c r="C952">
        <v>3</v>
      </c>
      <c r="D952" s="17" t="s">
        <v>37</v>
      </c>
      <c r="E952" s="17" t="s">
        <v>38</v>
      </c>
      <c r="F952" s="17" t="s">
        <v>33</v>
      </c>
      <c r="G952">
        <v>1</v>
      </c>
      <c r="H952">
        <v>45000</v>
      </c>
      <c r="I952">
        <v>22000</v>
      </c>
      <c r="J952">
        <v>2250</v>
      </c>
      <c r="K952" s="17">
        <f>(Fact_Ventas_Detalle[[#This Row],[Cantidad]]*Fact_Ventas_Detalle[[#This Row],[Precio Unitario]])-Fact_Ventas_Detalle[[#This Row],[Descuento Linea]]</f>
        <v>42750</v>
      </c>
    </row>
    <row r="953" spans="1:11" x14ac:dyDescent="0.25">
      <c r="A953">
        <v>94</v>
      </c>
      <c r="B953" s="17" t="s">
        <v>289</v>
      </c>
      <c r="C953">
        <v>2</v>
      </c>
      <c r="D953" s="17" t="s">
        <v>24</v>
      </c>
      <c r="E953" s="17" t="s">
        <v>25</v>
      </c>
      <c r="F953" s="17" t="s">
        <v>14</v>
      </c>
      <c r="G953">
        <v>3</v>
      </c>
      <c r="H953">
        <v>850000</v>
      </c>
      <c r="I953">
        <v>620000</v>
      </c>
      <c r="J953">
        <v>127500</v>
      </c>
      <c r="K953" s="17">
        <f>(Fact_Ventas_Detalle[[#This Row],[Cantidad]]*Fact_Ventas_Detalle[[#This Row],[Precio Unitario]])-Fact_Ventas_Detalle[[#This Row],[Descuento Linea]]</f>
        <v>2422500</v>
      </c>
    </row>
    <row r="954" spans="1:11" x14ac:dyDescent="0.25">
      <c r="A954">
        <v>94</v>
      </c>
      <c r="B954" s="17" t="s">
        <v>551</v>
      </c>
      <c r="C954">
        <v>2</v>
      </c>
      <c r="D954" s="17" t="s">
        <v>27</v>
      </c>
      <c r="E954" s="17" t="s">
        <v>28</v>
      </c>
      <c r="F954" s="17" t="s">
        <v>29</v>
      </c>
      <c r="G954">
        <v>3</v>
      </c>
      <c r="H954">
        <v>240000</v>
      </c>
      <c r="I954">
        <v>150000</v>
      </c>
      <c r="J954">
        <v>36000</v>
      </c>
      <c r="K954" s="17">
        <f>(Fact_Ventas_Detalle[[#This Row],[Cantidad]]*Fact_Ventas_Detalle[[#This Row],[Precio Unitario]])-Fact_Ventas_Detalle[[#This Row],[Descuento Linea]]</f>
        <v>684000</v>
      </c>
    </row>
    <row r="955" spans="1:11" x14ac:dyDescent="0.25">
      <c r="A955">
        <v>94</v>
      </c>
      <c r="B955" s="17" t="s">
        <v>462</v>
      </c>
      <c r="C955">
        <v>1</v>
      </c>
      <c r="D955" s="17" t="s">
        <v>31</v>
      </c>
      <c r="E955" s="17" t="s">
        <v>32</v>
      </c>
      <c r="F955" s="17" t="s">
        <v>33</v>
      </c>
      <c r="G955">
        <v>1</v>
      </c>
      <c r="H955">
        <v>25000</v>
      </c>
      <c r="I955">
        <v>11000</v>
      </c>
      <c r="J955">
        <v>2500</v>
      </c>
      <c r="K955" s="17">
        <f>(Fact_Ventas_Detalle[[#This Row],[Cantidad]]*Fact_Ventas_Detalle[[#This Row],[Precio Unitario]])-Fact_Ventas_Detalle[[#This Row],[Descuento Linea]]</f>
        <v>22500</v>
      </c>
    </row>
    <row r="956" spans="1:11" x14ac:dyDescent="0.25">
      <c r="A956">
        <v>95</v>
      </c>
      <c r="B956" s="17" t="s">
        <v>551</v>
      </c>
      <c r="C956">
        <v>3</v>
      </c>
      <c r="D956" s="17" t="s">
        <v>39</v>
      </c>
      <c r="E956" s="17" t="s">
        <v>40</v>
      </c>
      <c r="F956" s="17" t="s">
        <v>14</v>
      </c>
      <c r="G956">
        <v>1</v>
      </c>
      <c r="H956">
        <v>75000</v>
      </c>
      <c r="I956">
        <v>42000</v>
      </c>
      <c r="J956">
        <v>7500</v>
      </c>
      <c r="K956" s="17">
        <f>(Fact_Ventas_Detalle[[#This Row],[Cantidad]]*Fact_Ventas_Detalle[[#This Row],[Precio Unitario]])-Fact_Ventas_Detalle[[#This Row],[Descuento Linea]]</f>
        <v>67500</v>
      </c>
    </row>
    <row r="957" spans="1:11" x14ac:dyDescent="0.25">
      <c r="A957">
        <v>95</v>
      </c>
      <c r="B957" s="17" t="s">
        <v>728</v>
      </c>
      <c r="C957">
        <v>1</v>
      </c>
      <c r="D957" s="17" t="s">
        <v>39</v>
      </c>
      <c r="E957" s="17" t="s">
        <v>40</v>
      </c>
      <c r="F957" s="17" t="s">
        <v>14</v>
      </c>
      <c r="G957">
        <v>3</v>
      </c>
      <c r="H957">
        <v>75000</v>
      </c>
      <c r="I957">
        <v>42000</v>
      </c>
      <c r="J957">
        <v>22500</v>
      </c>
      <c r="K957" s="17">
        <f>(Fact_Ventas_Detalle[[#This Row],[Cantidad]]*Fact_Ventas_Detalle[[#This Row],[Precio Unitario]])-Fact_Ventas_Detalle[[#This Row],[Descuento Linea]]</f>
        <v>202500</v>
      </c>
    </row>
    <row r="958" spans="1:11" x14ac:dyDescent="0.25">
      <c r="A958">
        <v>95</v>
      </c>
      <c r="B958" s="17" t="s">
        <v>290</v>
      </c>
      <c r="C958">
        <v>1</v>
      </c>
      <c r="D958" s="17" t="s">
        <v>39</v>
      </c>
      <c r="E958" s="17" t="s">
        <v>40</v>
      </c>
      <c r="F958" s="17" t="s">
        <v>14</v>
      </c>
      <c r="G958">
        <v>1</v>
      </c>
      <c r="H958">
        <v>75000</v>
      </c>
      <c r="I958">
        <v>42000</v>
      </c>
      <c r="J958">
        <v>7500</v>
      </c>
      <c r="K958" s="17">
        <f>(Fact_Ventas_Detalle[[#This Row],[Cantidad]]*Fact_Ventas_Detalle[[#This Row],[Precio Unitario]])-Fact_Ventas_Detalle[[#This Row],[Descuento Linea]]</f>
        <v>67500</v>
      </c>
    </row>
    <row r="959" spans="1:11" x14ac:dyDescent="0.25">
      <c r="A959">
        <v>96</v>
      </c>
      <c r="B959" s="17" t="s">
        <v>290</v>
      </c>
      <c r="C959">
        <v>2</v>
      </c>
      <c r="D959" s="17" t="s">
        <v>42</v>
      </c>
      <c r="E959" s="17" t="s">
        <v>43</v>
      </c>
      <c r="F959" s="17" t="s">
        <v>29</v>
      </c>
      <c r="G959">
        <v>3</v>
      </c>
      <c r="H959">
        <v>185000</v>
      </c>
      <c r="I959">
        <v>115000</v>
      </c>
      <c r="J959">
        <v>0</v>
      </c>
      <c r="K959" s="17">
        <f>(Fact_Ventas_Detalle[[#This Row],[Cantidad]]*Fact_Ventas_Detalle[[#This Row],[Precio Unitario]])-Fact_Ventas_Detalle[[#This Row],[Descuento Linea]]</f>
        <v>555000</v>
      </c>
    </row>
    <row r="960" spans="1:11" x14ac:dyDescent="0.25">
      <c r="A960">
        <v>96</v>
      </c>
      <c r="B960" s="17" t="s">
        <v>728</v>
      </c>
      <c r="C960">
        <v>2</v>
      </c>
      <c r="D960" s="17" t="s">
        <v>17</v>
      </c>
      <c r="E960" s="17" t="s">
        <v>18</v>
      </c>
      <c r="F960" s="17" t="s">
        <v>19</v>
      </c>
      <c r="G960">
        <v>2</v>
      </c>
      <c r="H960">
        <v>65000</v>
      </c>
      <c r="I960">
        <v>35000</v>
      </c>
      <c r="J960">
        <v>13000</v>
      </c>
      <c r="K960" s="17">
        <f>(Fact_Ventas_Detalle[[#This Row],[Cantidad]]*Fact_Ventas_Detalle[[#This Row],[Precio Unitario]])-Fact_Ventas_Detalle[[#This Row],[Descuento Linea]]</f>
        <v>117000</v>
      </c>
    </row>
    <row r="961" spans="1:11" x14ac:dyDescent="0.25">
      <c r="A961">
        <v>97</v>
      </c>
      <c r="B961" s="17" t="s">
        <v>291</v>
      </c>
      <c r="C961">
        <v>1</v>
      </c>
      <c r="D961" s="17" t="s">
        <v>31</v>
      </c>
      <c r="E961" s="17" t="s">
        <v>32</v>
      </c>
      <c r="F961" s="17" t="s">
        <v>33</v>
      </c>
      <c r="G961">
        <v>2</v>
      </c>
      <c r="H961">
        <v>25000</v>
      </c>
      <c r="I961">
        <v>11000</v>
      </c>
      <c r="J961">
        <v>5000</v>
      </c>
      <c r="K961" s="17">
        <f>(Fact_Ventas_Detalle[[#This Row],[Cantidad]]*Fact_Ventas_Detalle[[#This Row],[Precio Unitario]])-Fact_Ventas_Detalle[[#This Row],[Descuento Linea]]</f>
        <v>45000</v>
      </c>
    </row>
    <row r="962" spans="1:11" x14ac:dyDescent="0.25">
      <c r="A962">
        <v>98</v>
      </c>
      <c r="B962" s="17" t="s">
        <v>291</v>
      </c>
      <c r="C962">
        <v>2</v>
      </c>
      <c r="D962" s="17" t="s">
        <v>39</v>
      </c>
      <c r="E962" s="17" t="s">
        <v>40</v>
      </c>
      <c r="F962" s="17" t="s">
        <v>14</v>
      </c>
      <c r="G962">
        <v>2</v>
      </c>
      <c r="H962">
        <v>75000</v>
      </c>
      <c r="I962">
        <v>42000</v>
      </c>
      <c r="J962">
        <v>15000</v>
      </c>
      <c r="K962" s="17">
        <f>(Fact_Ventas_Detalle[[#This Row],[Cantidad]]*Fact_Ventas_Detalle[[#This Row],[Precio Unitario]])-Fact_Ventas_Detalle[[#This Row],[Descuento Linea]]</f>
        <v>135000</v>
      </c>
    </row>
    <row r="963" spans="1:11" x14ac:dyDescent="0.25">
      <c r="A963">
        <v>99</v>
      </c>
      <c r="B963" s="17" t="s">
        <v>291</v>
      </c>
      <c r="C963">
        <v>3</v>
      </c>
      <c r="D963" s="17" t="s">
        <v>27</v>
      </c>
      <c r="E963" s="17" t="s">
        <v>28</v>
      </c>
      <c r="F963" s="17" t="s">
        <v>29</v>
      </c>
      <c r="G963">
        <v>1</v>
      </c>
      <c r="H963">
        <v>240000</v>
      </c>
      <c r="I963">
        <v>150000</v>
      </c>
      <c r="J963">
        <v>0</v>
      </c>
      <c r="K963" s="17">
        <f>(Fact_Ventas_Detalle[[#This Row],[Cantidad]]*Fact_Ventas_Detalle[[#This Row],[Precio Unitario]])-Fact_Ventas_Detalle[[#This Row],[Descuento Linea]]</f>
        <v>240000</v>
      </c>
    </row>
    <row r="964" spans="1:11" x14ac:dyDescent="0.25">
      <c r="A964">
        <v>100</v>
      </c>
      <c r="B964" s="17" t="s">
        <v>291</v>
      </c>
      <c r="C964">
        <v>4</v>
      </c>
      <c r="D964" s="17" t="s">
        <v>37</v>
      </c>
      <c r="E964" s="17" t="s">
        <v>38</v>
      </c>
      <c r="F964" s="17" t="s">
        <v>33</v>
      </c>
      <c r="G964">
        <v>2</v>
      </c>
      <c r="H964">
        <v>45000</v>
      </c>
      <c r="I964">
        <v>22000</v>
      </c>
      <c r="J964">
        <v>0</v>
      </c>
      <c r="K964" s="17">
        <f>(Fact_Ventas_Detalle[[#This Row],[Cantidad]]*Fact_Ventas_Detalle[[#This Row],[Precio Unitario]])-Fact_Ventas_Detalle[[#This Row],[Descuento Linea]]</f>
        <v>90000</v>
      </c>
    </row>
    <row r="965" spans="1:11" x14ac:dyDescent="0.25">
      <c r="A965">
        <v>101</v>
      </c>
      <c r="B965" s="17" t="s">
        <v>292</v>
      </c>
      <c r="C965">
        <v>1</v>
      </c>
      <c r="D965" s="17" t="s">
        <v>17</v>
      </c>
      <c r="E965" s="17" t="s">
        <v>18</v>
      </c>
      <c r="F965" s="17" t="s">
        <v>19</v>
      </c>
      <c r="G965">
        <v>1</v>
      </c>
      <c r="H965">
        <v>65000</v>
      </c>
      <c r="I965">
        <v>35000</v>
      </c>
      <c r="J965">
        <v>0</v>
      </c>
      <c r="K965" s="17">
        <f>(Fact_Ventas_Detalle[[#This Row],[Cantidad]]*Fact_Ventas_Detalle[[#This Row],[Precio Unitario]])-Fact_Ventas_Detalle[[#This Row],[Descuento Linea]]</f>
        <v>65000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93292-A684-41BA-B391-EE4A52DCDAC6}">
  <dimension ref="A1:G398"/>
  <sheetViews>
    <sheetView workbookViewId="0">
      <selection sqref="A1:G398"/>
    </sheetView>
  </sheetViews>
  <sheetFormatPr baseColWidth="10" defaultColWidth="11.42578125" defaultRowHeight="15" x14ac:dyDescent="0.25"/>
  <cols>
    <col min="1" max="1" width="17.140625" bestFit="1" customWidth="1"/>
    <col min="2" max="2" width="14.7109375" bestFit="1" customWidth="1"/>
    <col min="3" max="3" width="20" bestFit="1" customWidth="1"/>
    <col min="4" max="4" width="16.140625" bestFit="1" customWidth="1"/>
    <col min="5" max="5" width="12" bestFit="1" customWidth="1"/>
    <col min="6" max="6" width="15.140625" bestFit="1" customWidth="1"/>
    <col min="7" max="7" width="22" bestFit="1" customWidth="1"/>
  </cols>
  <sheetData>
    <row r="1" spans="1:7" x14ac:dyDescent="0.25">
      <c r="A1" t="s">
        <v>1</v>
      </c>
      <c r="B1" t="s">
        <v>293</v>
      </c>
      <c r="C1" t="s">
        <v>294</v>
      </c>
      <c r="D1" t="s">
        <v>295</v>
      </c>
      <c r="E1" t="s">
        <v>296</v>
      </c>
      <c r="F1" t="s">
        <v>297</v>
      </c>
      <c r="G1" t="s">
        <v>298</v>
      </c>
    </row>
    <row r="2" spans="1:7" x14ac:dyDescent="0.25">
      <c r="A2" t="s">
        <v>30</v>
      </c>
      <c r="B2" s="1">
        <v>46230.425856481481</v>
      </c>
      <c r="C2" t="s">
        <v>299</v>
      </c>
      <c r="D2" t="s">
        <v>300</v>
      </c>
      <c r="E2" t="s">
        <v>301</v>
      </c>
      <c r="F2" t="s">
        <v>302</v>
      </c>
      <c r="G2" t="s">
        <v>303</v>
      </c>
    </row>
    <row r="3" spans="1:7" x14ac:dyDescent="0.25">
      <c r="A3" t="s">
        <v>52</v>
      </c>
      <c r="B3" s="1">
        <v>46230.407280092593</v>
      </c>
      <c r="C3" t="s">
        <v>299</v>
      </c>
      <c r="D3" t="s">
        <v>300</v>
      </c>
      <c r="E3" t="s">
        <v>304</v>
      </c>
      <c r="F3" t="s">
        <v>305</v>
      </c>
      <c r="G3" t="s">
        <v>303</v>
      </c>
    </row>
    <row r="4" spans="1:7" x14ac:dyDescent="0.25">
      <c r="A4" t="s">
        <v>53</v>
      </c>
      <c r="B4" s="1">
        <v>46230.836134259262</v>
      </c>
      <c r="C4" t="s">
        <v>299</v>
      </c>
      <c r="D4" t="s">
        <v>300</v>
      </c>
      <c r="E4" t="s">
        <v>306</v>
      </c>
      <c r="F4" t="s">
        <v>307</v>
      </c>
      <c r="G4" t="s">
        <v>303</v>
      </c>
    </row>
    <row r="5" spans="1:7" x14ac:dyDescent="0.25">
      <c r="A5" t="s">
        <v>72</v>
      </c>
      <c r="B5" s="1">
        <v>46230.664560185185</v>
      </c>
      <c r="C5" t="s">
        <v>299</v>
      </c>
      <c r="D5" t="s">
        <v>300</v>
      </c>
      <c r="E5" t="s">
        <v>308</v>
      </c>
      <c r="F5" t="s">
        <v>302</v>
      </c>
      <c r="G5" t="s">
        <v>303</v>
      </c>
    </row>
    <row r="6" spans="1:7" x14ac:dyDescent="0.25">
      <c r="A6" t="s">
        <v>98</v>
      </c>
      <c r="B6" s="1">
        <v>46230.482511574075</v>
      </c>
      <c r="C6" t="s">
        <v>299</v>
      </c>
      <c r="D6" t="s">
        <v>300</v>
      </c>
      <c r="E6" t="s">
        <v>309</v>
      </c>
      <c r="F6" t="s">
        <v>307</v>
      </c>
      <c r="G6" t="s">
        <v>303</v>
      </c>
    </row>
    <row r="7" spans="1:7" x14ac:dyDescent="0.25">
      <c r="A7" t="s">
        <v>125</v>
      </c>
      <c r="B7" s="1">
        <v>46230.5237037037</v>
      </c>
      <c r="C7" t="s">
        <v>299</v>
      </c>
      <c r="D7" t="s">
        <v>300</v>
      </c>
      <c r="E7" t="s">
        <v>310</v>
      </c>
      <c r="F7" t="s">
        <v>311</v>
      </c>
      <c r="G7" t="s">
        <v>303</v>
      </c>
    </row>
    <row r="8" spans="1:7" x14ac:dyDescent="0.25">
      <c r="A8" t="s">
        <v>140</v>
      </c>
      <c r="B8" s="1">
        <v>46230.702719907407</v>
      </c>
      <c r="C8" t="s">
        <v>299</v>
      </c>
      <c r="D8" t="s">
        <v>300</v>
      </c>
      <c r="E8" t="s">
        <v>312</v>
      </c>
      <c r="F8" t="s">
        <v>305</v>
      </c>
      <c r="G8" t="s">
        <v>303</v>
      </c>
    </row>
    <row r="9" spans="1:7" x14ac:dyDescent="0.25">
      <c r="A9" t="s">
        <v>153</v>
      </c>
      <c r="B9" s="1">
        <v>46230.679479166669</v>
      </c>
      <c r="C9" t="s">
        <v>299</v>
      </c>
      <c r="D9" t="s">
        <v>300</v>
      </c>
      <c r="E9" t="s">
        <v>313</v>
      </c>
      <c r="F9" t="s">
        <v>311</v>
      </c>
      <c r="G9" t="s">
        <v>303</v>
      </c>
    </row>
    <row r="10" spans="1:7" x14ac:dyDescent="0.25">
      <c r="A10" t="s">
        <v>170</v>
      </c>
      <c r="B10" s="1">
        <v>46230.817777777775</v>
      </c>
      <c r="C10" t="s">
        <v>299</v>
      </c>
      <c r="D10" t="s">
        <v>300</v>
      </c>
      <c r="E10" t="s">
        <v>314</v>
      </c>
      <c r="F10" t="s">
        <v>307</v>
      </c>
      <c r="G10" t="s">
        <v>303</v>
      </c>
    </row>
    <row r="11" spans="1:7" x14ac:dyDescent="0.25">
      <c r="A11" t="s">
        <v>179</v>
      </c>
      <c r="B11" s="1">
        <v>46230.417002314818</v>
      </c>
      <c r="C11" t="s">
        <v>299</v>
      </c>
      <c r="D11" t="s">
        <v>300</v>
      </c>
      <c r="E11" t="s">
        <v>315</v>
      </c>
      <c r="F11" t="s">
        <v>307</v>
      </c>
      <c r="G11" t="s">
        <v>303</v>
      </c>
    </row>
    <row r="12" spans="1:7" x14ac:dyDescent="0.25">
      <c r="A12" t="s">
        <v>46</v>
      </c>
      <c r="B12" s="1">
        <v>46231.829247685186</v>
      </c>
      <c r="C12" t="s">
        <v>299</v>
      </c>
      <c r="D12" t="s">
        <v>300</v>
      </c>
      <c r="E12" t="s">
        <v>316</v>
      </c>
      <c r="F12" t="s">
        <v>305</v>
      </c>
      <c r="G12" t="s">
        <v>303</v>
      </c>
    </row>
    <row r="13" spans="1:7" x14ac:dyDescent="0.25">
      <c r="A13" t="s">
        <v>71</v>
      </c>
      <c r="B13" s="1">
        <v>46231.564375000002</v>
      </c>
      <c r="C13" t="s">
        <v>299</v>
      </c>
      <c r="D13" t="s">
        <v>300</v>
      </c>
      <c r="E13" t="s">
        <v>317</v>
      </c>
      <c r="F13" t="s">
        <v>311</v>
      </c>
      <c r="G13" t="s">
        <v>303</v>
      </c>
    </row>
    <row r="14" spans="1:7" x14ac:dyDescent="0.25">
      <c r="A14" t="s">
        <v>80</v>
      </c>
      <c r="B14" s="1">
        <v>46231.685370370367</v>
      </c>
      <c r="C14" t="s">
        <v>299</v>
      </c>
      <c r="D14" t="s">
        <v>300</v>
      </c>
      <c r="E14" t="s">
        <v>318</v>
      </c>
      <c r="F14" t="s">
        <v>302</v>
      </c>
      <c r="G14" t="s">
        <v>303</v>
      </c>
    </row>
    <row r="15" spans="1:7" x14ac:dyDescent="0.25">
      <c r="A15" t="s">
        <v>83</v>
      </c>
      <c r="B15" s="1">
        <v>46231.508229166669</v>
      </c>
      <c r="C15" t="s">
        <v>299</v>
      </c>
      <c r="D15" t="s">
        <v>300</v>
      </c>
      <c r="E15" t="s">
        <v>319</v>
      </c>
      <c r="F15" t="s">
        <v>302</v>
      </c>
      <c r="G15" t="s">
        <v>303</v>
      </c>
    </row>
    <row r="16" spans="1:7" x14ac:dyDescent="0.25">
      <c r="A16" t="s">
        <v>147</v>
      </c>
      <c r="B16" s="1">
        <v>46231.536817129629</v>
      </c>
      <c r="C16" t="s">
        <v>299</v>
      </c>
      <c r="D16" t="s">
        <v>300</v>
      </c>
      <c r="E16" t="s">
        <v>320</v>
      </c>
      <c r="F16" t="s">
        <v>307</v>
      </c>
      <c r="G16" t="s">
        <v>303</v>
      </c>
    </row>
    <row r="17" spans="1:7" x14ac:dyDescent="0.25">
      <c r="A17" t="s">
        <v>155</v>
      </c>
      <c r="B17" s="1">
        <v>46231.590717592589</v>
      </c>
      <c r="C17" t="s">
        <v>299</v>
      </c>
      <c r="D17" t="s">
        <v>300</v>
      </c>
      <c r="E17" t="s">
        <v>321</v>
      </c>
      <c r="F17" t="s">
        <v>307</v>
      </c>
      <c r="G17" t="s">
        <v>303</v>
      </c>
    </row>
    <row r="18" spans="1:7" x14ac:dyDescent="0.25">
      <c r="A18" t="s">
        <v>166</v>
      </c>
      <c r="B18" s="1">
        <v>46231.607256944444</v>
      </c>
      <c r="C18" t="s">
        <v>299</v>
      </c>
      <c r="D18" t="s">
        <v>300</v>
      </c>
      <c r="E18" t="s">
        <v>322</v>
      </c>
      <c r="F18" t="s">
        <v>305</v>
      </c>
      <c r="G18" t="s">
        <v>303</v>
      </c>
    </row>
    <row r="19" spans="1:7" x14ac:dyDescent="0.25">
      <c r="A19" t="s">
        <v>174</v>
      </c>
      <c r="B19" s="1">
        <v>46231.633171296293</v>
      </c>
      <c r="C19" t="s">
        <v>299</v>
      </c>
      <c r="D19" t="s">
        <v>300</v>
      </c>
      <c r="E19" t="s">
        <v>323</v>
      </c>
      <c r="F19" t="s">
        <v>302</v>
      </c>
      <c r="G19" t="s">
        <v>303</v>
      </c>
    </row>
    <row r="20" spans="1:7" x14ac:dyDescent="0.25">
      <c r="A20" t="s">
        <v>195</v>
      </c>
      <c r="B20" s="1">
        <v>46231.851747685185</v>
      </c>
      <c r="C20" t="s">
        <v>299</v>
      </c>
      <c r="D20" t="s">
        <v>300</v>
      </c>
      <c r="E20" t="s">
        <v>324</v>
      </c>
      <c r="F20" t="s">
        <v>305</v>
      </c>
      <c r="G20" t="s">
        <v>303</v>
      </c>
    </row>
    <row r="21" spans="1:7" x14ac:dyDescent="0.25">
      <c r="A21" t="s">
        <v>218</v>
      </c>
      <c r="B21" s="1">
        <v>46231.47152777778</v>
      </c>
      <c r="C21" t="s">
        <v>299</v>
      </c>
      <c r="D21" t="s">
        <v>300</v>
      </c>
      <c r="E21" t="s">
        <v>325</v>
      </c>
      <c r="F21" t="s">
        <v>311</v>
      </c>
      <c r="G21" t="s">
        <v>303</v>
      </c>
    </row>
    <row r="22" spans="1:7" x14ac:dyDescent="0.25">
      <c r="A22" t="s">
        <v>241</v>
      </c>
      <c r="B22" s="1">
        <v>46231.468877314815</v>
      </c>
      <c r="C22" t="s">
        <v>299</v>
      </c>
      <c r="D22" t="s">
        <v>300</v>
      </c>
      <c r="E22" t="s">
        <v>326</v>
      </c>
      <c r="F22" t="s">
        <v>302</v>
      </c>
      <c r="G22" t="s">
        <v>303</v>
      </c>
    </row>
    <row r="23" spans="1:7" x14ac:dyDescent="0.25">
      <c r="A23" t="s">
        <v>259</v>
      </c>
      <c r="B23" s="1">
        <v>46231.479548611111</v>
      </c>
      <c r="C23" t="s">
        <v>299</v>
      </c>
      <c r="D23" t="s">
        <v>300</v>
      </c>
      <c r="E23" t="s">
        <v>327</v>
      </c>
      <c r="F23" t="s">
        <v>307</v>
      </c>
      <c r="G23" t="s">
        <v>303</v>
      </c>
    </row>
    <row r="24" spans="1:7" x14ac:dyDescent="0.25">
      <c r="A24" t="s">
        <v>274</v>
      </c>
      <c r="B24" s="1">
        <v>46231.783692129633</v>
      </c>
      <c r="C24" t="s">
        <v>299</v>
      </c>
      <c r="D24" t="s">
        <v>300</v>
      </c>
      <c r="E24" t="s">
        <v>328</v>
      </c>
      <c r="F24" t="s">
        <v>311</v>
      </c>
      <c r="G24" t="s">
        <v>303</v>
      </c>
    </row>
    <row r="25" spans="1:7" x14ac:dyDescent="0.25">
      <c r="A25" t="s">
        <v>47</v>
      </c>
      <c r="B25" s="1">
        <v>46232.556701388887</v>
      </c>
      <c r="C25" t="s">
        <v>299</v>
      </c>
      <c r="D25" t="s">
        <v>300</v>
      </c>
      <c r="E25" t="s">
        <v>329</v>
      </c>
      <c r="F25" t="s">
        <v>311</v>
      </c>
      <c r="G25" t="s">
        <v>303</v>
      </c>
    </row>
    <row r="26" spans="1:7" x14ac:dyDescent="0.25">
      <c r="A26" t="s">
        <v>63</v>
      </c>
      <c r="B26" s="1">
        <v>46232.62972222222</v>
      </c>
      <c r="C26" t="s">
        <v>299</v>
      </c>
      <c r="D26" t="s">
        <v>300</v>
      </c>
      <c r="E26" t="s">
        <v>330</v>
      </c>
      <c r="F26" t="s">
        <v>311</v>
      </c>
      <c r="G26" t="s">
        <v>303</v>
      </c>
    </row>
    <row r="27" spans="1:7" x14ac:dyDescent="0.25">
      <c r="A27" t="s">
        <v>150</v>
      </c>
      <c r="B27" s="1">
        <v>46232.50613425926</v>
      </c>
      <c r="C27" t="s">
        <v>299</v>
      </c>
      <c r="D27" t="s">
        <v>300</v>
      </c>
      <c r="E27" t="s">
        <v>331</v>
      </c>
      <c r="F27" t="s">
        <v>311</v>
      </c>
      <c r="G27" t="s">
        <v>303</v>
      </c>
    </row>
    <row r="28" spans="1:7" x14ac:dyDescent="0.25">
      <c r="A28" t="s">
        <v>168</v>
      </c>
      <c r="B28" s="1">
        <v>46232.689050925925</v>
      </c>
      <c r="C28" t="s">
        <v>299</v>
      </c>
      <c r="D28" t="s">
        <v>300</v>
      </c>
      <c r="E28" t="s">
        <v>332</v>
      </c>
      <c r="F28" t="s">
        <v>302</v>
      </c>
      <c r="G28" t="s">
        <v>303</v>
      </c>
    </row>
    <row r="29" spans="1:7" x14ac:dyDescent="0.25">
      <c r="A29" t="s">
        <v>176</v>
      </c>
      <c r="B29" s="1">
        <v>46232.569212962961</v>
      </c>
      <c r="C29" t="s">
        <v>299</v>
      </c>
      <c r="D29" t="s">
        <v>300</v>
      </c>
      <c r="E29" t="s">
        <v>333</v>
      </c>
      <c r="F29" t="s">
        <v>302</v>
      </c>
      <c r="G29" t="s">
        <v>303</v>
      </c>
    </row>
    <row r="30" spans="1:7" x14ac:dyDescent="0.25">
      <c r="A30" t="s">
        <v>198</v>
      </c>
      <c r="B30" s="1">
        <v>46232.629710648151</v>
      </c>
      <c r="C30" t="s">
        <v>299</v>
      </c>
      <c r="D30" t="s">
        <v>300</v>
      </c>
      <c r="E30" t="s">
        <v>334</v>
      </c>
      <c r="F30" t="s">
        <v>307</v>
      </c>
      <c r="G30" t="s">
        <v>303</v>
      </c>
    </row>
    <row r="31" spans="1:7" x14ac:dyDescent="0.25">
      <c r="A31" t="s">
        <v>235</v>
      </c>
      <c r="B31" s="1">
        <v>46232.81077546296</v>
      </c>
      <c r="C31" t="s">
        <v>299</v>
      </c>
      <c r="D31" t="s">
        <v>300</v>
      </c>
      <c r="E31" t="s">
        <v>335</v>
      </c>
      <c r="F31" t="s">
        <v>311</v>
      </c>
      <c r="G31" t="s">
        <v>303</v>
      </c>
    </row>
    <row r="32" spans="1:7" x14ac:dyDescent="0.25">
      <c r="A32" t="s">
        <v>256</v>
      </c>
      <c r="B32" s="1">
        <v>46232.733252314814</v>
      </c>
      <c r="C32" t="s">
        <v>299</v>
      </c>
      <c r="D32" t="s">
        <v>300</v>
      </c>
      <c r="E32" t="s">
        <v>336</v>
      </c>
      <c r="F32" t="s">
        <v>302</v>
      </c>
      <c r="G32" t="s">
        <v>303</v>
      </c>
    </row>
    <row r="33" spans="1:7" x14ac:dyDescent="0.25">
      <c r="A33" t="s">
        <v>270</v>
      </c>
      <c r="B33" s="1">
        <v>46232.461481481485</v>
      </c>
      <c r="C33" t="s">
        <v>299</v>
      </c>
      <c r="D33" t="s">
        <v>300</v>
      </c>
      <c r="E33" t="s">
        <v>337</v>
      </c>
      <c r="F33" t="s">
        <v>305</v>
      </c>
      <c r="G33" t="s">
        <v>303</v>
      </c>
    </row>
    <row r="34" spans="1:7" x14ac:dyDescent="0.25">
      <c r="A34" t="s">
        <v>273</v>
      </c>
      <c r="B34" s="1">
        <v>46232.833287037036</v>
      </c>
      <c r="C34" t="s">
        <v>299</v>
      </c>
      <c r="D34" t="s">
        <v>300</v>
      </c>
      <c r="E34" t="s">
        <v>338</v>
      </c>
      <c r="F34" t="s">
        <v>311</v>
      </c>
      <c r="G34" t="s">
        <v>303</v>
      </c>
    </row>
    <row r="35" spans="1:7" x14ac:dyDescent="0.25">
      <c r="A35" t="s">
        <v>284</v>
      </c>
      <c r="B35" s="1">
        <v>46232.574236111112</v>
      </c>
      <c r="C35" t="s">
        <v>299</v>
      </c>
      <c r="D35" t="s">
        <v>300</v>
      </c>
      <c r="E35" t="s">
        <v>339</v>
      </c>
      <c r="F35" t="s">
        <v>311</v>
      </c>
      <c r="G35" t="s">
        <v>303</v>
      </c>
    </row>
    <row r="36" spans="1:7" x14ac:dyDescent="0.25">
      <c r="A36" t="s">
        <v>286</v>
      </c>
      <c r="B36" s="1">
        <v>46232.566250000003</v>
      </c>
      <c r="C36" t="s">
        <v>299</v>
      </c>
      <c r="D36" t="s">
        <v>300</v>
      </c>
      <c r="E36" t="s">
        <v>340</v>
      </c>
      <c r="F36" t="s">
        <v>305</v>
      </c>
      <c r="G36" t="s">
        <v>303</v>
      </c>
    </row>
    <row r="37" spans="1:7" x14ac:dyDescent="0.25">
      <c r="A37" t="s">
        <v>290</v>
      </c>
      <c r="B37" s="1">
        <v>46232.465405092589</v>
      </c>
      <c r="C37" t="s">
        <v>299</v>
      </c>
      <c r="D37" t="s">
        <v>300</v>
      </c>
      <c r="E37" t="s">
        <v>341</v>
      </c>
      <c r="F37" t="s">
        <v>307</v>
      </c>
      <c r="G37" t="s">
        <v>303</v>
      </c>
    </row>
    <row r="38" spans="1:7" x14ac:dyDescent="0.25">
      <c r="A38" t="s">
        <v>292</v>
      </c>
      <c r="B38" s="1">
        <v>46232.749374999999</v>
      </c>
      <c r="C38" t="s">
        <v>299</v>
      </c>
      <c r="D38" t="s">
        <v>300</v>
      </c>
      <c r="E38" t="s">
        <v>342</v>
      </c>
      <c r="F38" t="s">
        <v>302</v>
      </c>
      <c r="G38" t="s">
        <v>303</v>
      </c>
    </row>
    <row r="39" spans="1:7" x14ac:dyDescent="0.25">
      <c r="A39" t="s">
        <v>55</v>
      </c>
      <c r="B39" s="1">
        <v>46233.385717592595</v>
      </c>
      <c r="C39" t="s">
        <v>299</v>
      </c>
      <c r="D39" t="s">
        <v>300</v>
      </c>
      <c r="E39" t="s">
        <v>343</v>
      </c>
      <c r="F39" t="s">
        <v>302</v>
      </c>
      <c r="G39" t="s">
        <v>303</v>
      </c>
    </row>
    <row r="40" spans="1:7" x14ac:dyDescent="0.25">
      <c r="A40" t="s">
        <v>79</v>
      </c>
      <c r="B40" s="1">
        <v>46233.79991898148</v>
      </c>
      <c r="C40" t="s">
        <v>299</v>
      </c>
      <c r="D40" t="s">
        <v>300</v>
      </c>
      <c r="E40" t="s">
        <v>344</v>
      </c>
      <c r="F40" t="s">
        <v>307</v>
      </c>
      <c r="G40" t="s">
        <v>303</v>
      </c>
    </row>
    <row r="41" spans="1:7" x14ac:dyDescent="0.25">
      <c r="A41" t="s">
        <v>90</v>
      </c>
      <c r="B41" s="1">
        <v>46233.7262962963</v>
      </c>
      <c r="C41" t="s">
        <v>299</v>
      </c>
      <c r="D41" t="s">
        <v>300</v>
      </c>
      <c r="E41" t="s">
        <v>345</v>
      </c>
      <c r="F41" t="s">
        <v>302</v>
      </c>
      <c r="G41" t="s">
        <v>303</v>
      </c>
    </row>
    <row r="42" spans="1:7" x14ac:dyDescent="0.25">
      <c r="A42" t="s">
        <v>106</v>
      </c>
      <c r="B42" s="1">
        <v>46233.591331018521</v>
      </c>
      <c r="C42" t="s">
        <v>299</v>
      </c>
      <c r="D42" t="s">
        <v>300</v>
      </c>
      <c r="E42" t="s">
        <v>346</v>
      </c>
      <c r="F42" t="s">
        <v>307</v>
      </c>
      <c r="G42" t="s">
        <v>303</v>
      </c>
    </row>
    <row r="43" spans="1:7" x14ac:dyDescent="0.25">
      <c r="A43" t="s">
        <v>127</v>
      </c>
      <c r="B43" s="1">
        <v>46233.381874999999</v>
      </c>
      <c r="C43" t="s">
        <v>299</v>
      </c>
      <c r="D43" t="s">
        <v>300</v>
      </c>
      <c r="E43" t="s">
        <v>347</v>
      </c>
      <c r="F43" t="s">
        <v>307</v>
      </c>
      <c r="G43" t="s">
        <v>303</v>
      </c>
    </row>
    <row r="44" spans="1:7" x14ac:dyDescent="0.25">
      <c r="A44" t="s">
        <v>138</v>
      </c>
      <c r="B44" s="1">
        <v>46233.700046296297</v>
      </c>
      <c r="C44" t="s">
        <v>299</v>
      </c>
      <c r="D44" t="s">
        <v>300</v>
      </c>
      <c r="E44" t="s">
        <v>348</v>
      </c>
      <c r="F44" t="s">
        <v>305</v>
      </c>
      <c r="G44" t="s">
        <v>303</v>
      </c>
    </row>
    <row r="45" spans="1:7" x14ac:dyDescent="0.25">
      <c r="A45" t="s">
        <v>148</v>
      </c>
      <c r="B45" s="1">
        <v>46233.68986111111</v>
      </c>
      <c r="C45" t="s">
        <v>299</v>
      </c>
      <c r="D45" t="s">
        <v>300</v>
      </c>
      <c r="E45" t="s">
        <v>349</v>
      </c>
      <c r="F45" t="s">
        <v>307</v>
      </c>
      <c r="G45" t="s">
        <v>303</v>
      </c>
    </row>
    <row r="46" spans="1:7" x14ac:dyDescent="0.25">
      <c r="A46" t="s">
        <v>163</v>
      </c>
      <c r="B46" s="1">
        <v>46233.391377314816</v>
      </c>
      <c r="C46" t="s">
        <v>299</v>
      </c>
      <c r="D46" t="s">
        <v>300</v>
      </c>
      <c r="E46" t="s">
        <v>350</v>
      </c>
      <c r="F46" t="s">
        <v>302</v>
      </c>
      <c r="G46" t="s">
        <v>303</v>
      </c>
    </row>
    <row r="47" spans="1:7" x14ac:dyDescent="0.25">
      <c r="A47" t="s">
        <v>187</v>
      </c>
      <c r="B47" s="1">
        <v>46233.805312500001</v>
      </c>
      <c r="C47" t="s">
        <v>299</v>
      </c>
      <c r="D47" t="s">
        <v>300</v>
      </c>
      <c r="E47" t="s">
        <v>351</v>
      </c>
      <c r="F47" t="s">
        <v>307</v>
      </c>
      <c r="G47" t="s">
        <v>303</v>
      </c>
    </row>
    <row r="48" spans="1:7" x14ac:dyDescent="0.25">
      <c r="A48" t="s">
        <v>220</v>
      </c>
      <c r="B48" s="1">
        <v>46233.624722222223</v>
      </c>
      <c r="C48" t="s">
        <v>299</v>
      </c>
      <c r="D48" t="s">
        <v>300</v>
      </c>
      <c r="E48" t="s">
        <v>352</v>
      </c>
      <c r="F48" t="s">
        <v>302</v>
      </c>
      <c r="G48" t="s">
        <v>303</v>
      </c>
    </row>
    <row r="49" spans="1:7" x14ac:dyDescent="0.25">
      <c r="A49" t="s">
        <v>252</v>
      </c>
      <c r="B49" s="1">
        <v>46233.728576388887</v>
      </c>
      <c r="C49" t="s">
        <v>299</v>
      </c>
      <c r="D49" t="s">
        <v>300</v>
      </c>
      <c r="E49" t="s">
        <v>353</v>
      </c>
      <c r="F49" t="s">
        <v>302</v>
      </c>
      <c r="G49" t="s">
        <v>303</v>
      </c>
    </row>
    <row r="50" spans="1:7" x14ac:dyDescent="0.25">
      <c r="A50" t="s">
        <v>262</v>
      </c>
      <c r="B50" s="1">
        <v>46233.481712962966</v>
      </c>
      <c r="C50" t="s">
        <v>299</v>
      </c>
      <c r="D50" t="s">
        <v>300</v>
      </c>
      <c r="E50" t="s">
        <v>354</v>
      </c>
      <c r="F50" t="s">
        <v>305</v>
      </c>
      <c r="G50" t="s">
        <v>303</v>
      </c>
    </row>
    <row r="51" spans="1:7" x14ac:dyDescent="0.25">
      <c r="A51" t="s">
        <v>54</v>
      </c>
      <c r="B51" s="1">
        <v>46234.767465277779</v>
      </c>
      <c r="C51" t="s">
        <v>299</v>
      </c>
      <c r="D51" t="s">
        <v>300</v>
      </c>
      <c r="E51" t="s">
        <v>355</v>
      </c>
      <c r="F51" t="s">
        <v>311</v>
      </c>
      <c r="G51" t="s">
        <v>303</v>
      </c>
    </row>
    <row r="52" spans="1:7" x14ac:dyDescent="0.25">
      <c r="A52" t="s">
        <v>64</v>
      </c>
      <c r="B52" s="1">
        <v>46234.760937500003</v>
      </c>
      <c r="C52" t="s">
        <v>299</v>
      </c>
      <c r="D52" t="s">
        <v>300</v>
      </c>
      <c r="E52" t="s">
        <v>356</v>
      </c>
      <c r="F52" t="s">
        <v>307</v>
      </c>
      <c r="G52" t="s">
        <v>303</v>
      </c>
    </row>
    <row r="53" spans="1:7" x14ac:dyDescent="0.25">
      <c r="A53" t="s">
        <v>75</v>
      </c>
      <c r="B53" s="1">
        <v>46234.538101851853</v>
      </c>
      <c r="C53" t="s">
        <v>299</v>
      </c>
      <c r="D53" t="s">
        <v>300</v>
      </c>
      <c r="E53" t="s">
        <v>357</v>
      </c>
      <c r="F53" t="s">
        <v>307</v>
      </c>
      <c r="G53" t="s">
        <v>303</v>
      </c>
    </row>
    <row r="54" spans="1:7" x14ac:dyDescent="0.25">
      <c r="A54" t="s">
        <v>84</v>
      </c>
      <c r="B54" s="1">
        <v>46234.735567129632</v>
      </c>
      <c r="C54" t="s">
        <v>299</v>
      </c>
      <c r="D54" t="s">
        <v>300</v>
      </c>
      <c r="E54" t="s">
        <v>358</v>
      </c>
      <c r="F54" t="s">
        <v>302</v>
      </c>
      <c r="G54" t="s">
        <v>303</v>
      </c>
    </row>
    <row r="55" spans="1:7" x14ac:dyDescent="0.25">
      <c r="A55" t="s">
        <v>114</v>
      </c>
      <c r="B55" s="1">
        <v>46234.415983796294</v>
      </c>
      <c r="C55" t="s">
        <v>299</v>
      </c>
      <c r="D55" t="s">
        <v>300</v>
      </c>
      <c r="E55" t="s">
        <v>359</v>
      </c>
      <c r="F55" t="s">
        <v>302</v>
      </c>
      <c r="G55" t="s">
        <v>303</v>
      </c>
    </row>
    <row r="56" spans="1:7" x14ac:dyDescent="0.25">
      <c r="A56" t="s">
        <v>188</v>
      </c>
      <c r="B56" s="1">
        <v>46234.420370370368</v>
      </c>
      <c r="C56" t="s">
        <v>299</v>
      </c>
      <c r="D56" t="s">
        <v>300</v>
      </c>
      <c r="E56" t="s">
        <v>360</v>
      </c>
      <c r="F56" t="s">
        <v>305</v>
      </c>
      <c r="G56" t="s">
        <v>303</v>
      </c>
    </row>
    <row r="57" spans="1:7" x14ac:dyDescent="0.25">
      <c r="A57" t="s">
        <v>194</v>
      </c>
      <c r="B57" s="1">
        <v>46234.699745370373</v>
      </c>
      <c r="C57" t="s">
        <v>299</v>
      </c>
      <c r="D57" t="s">
        <v>300</v>
      </c>
      <c r="E57" t="s">
        <v>361</v>
      </c>
      <c r="F57" t="s">
        <v>302</v>
      </c>
      <c r="G57" t="s">
        <v>303</v>
      </c>
    </row>
    <row r="58" spans="1:7" x14ac:dyDescent="0.25">
      <c r="A58" t="s">
        <v>265</v>
      </c>
      <c r="B58" s="1">
        <v>46234.831828703704</v>
      </c>
      <c r="C58" t="s">
        <v>299</v>
      </c>
      <c r="D58" t="s">
        <v>300</v>
      </c>
      <c r="E58" t="s">
        <v>362</v>
      </c>
      <c r="F58" t="s">
        <v>302</v>
      </c>
      <c r="G58" t="s">
        <v>303</v>
      </c>
    </row>
    <row r="59" spans="1:7" x14ac:dyDescent="0.25">
      <c r="A59" t="s">
        <v>15</v>
      </c>
      <c r="B59" s="1">
        <v>46235.650520833333</v>
      </c>
      <c r="C59" t="s">
        <v>299</v>
      </c>
      <c r="D59" t="s">
        <v>300</v>
      </c>
      <c r="E59" t="s">
        <v>363</v>
      </c>
      <c r="F59" t="s">
        <v>311</v>
      </c>
      <c r="G59" t="s">
        <v>303</v>
      </c>
    </row>
    <row r="60" spans="1:7" x14ac:dyDescent="0.25">
      <c r="A60" t="s">
        <v>67</v>
      </c>
      <c r="B60" s="1">
        <v>46235.829409722224</v>
      </c>
      <c r="C60" t="s">
        <v>299</v>
      </c>
      <c r="D60" t="s">
        <v>300</v>
      </c>
      <c r="E60" t="s">
        <v>364</v>
      </c>
      <c r="F60" t="s">
        <v>307</v>
      </c>
      <c r="G60" t="s">
        <v>303</v>
      </c>
    </row>
    <row r="61" spans="1:7" x14ac:dyDescent="0.25">
      <c r="A61" t="s">
        <v>82</v>
      </c>
      <c r="B61" s="1">
        <v>46235.612627314818</v>
      </c>
      <c r="C61" t="s">
        <v>299</v>
      </c>
      <c r="D61" t="s">
        <v>300</v>
      </c>
      <c r="E61" t="s">
        <v>365</v>
      </c>
      <c r="F61" t="s">
        <v>307</v>
      </c>
      <c r="G61" t="s">
        <v>303</v>
      </c>
    </row>
    <row r="62" spans="1:7" x14ac:dyDescent="0.25">
      <c r="A62" t="s">
        <v>87</v>
      </c>
      <c r="B62" s="1">
        <v>46235.41</v>
      </c>
      <c r="C62" t="s">
        <v>299</v>
      </c>
      <c r="D62" t="s">
        <v>300</v>
      </c>
      <c r="E62" t="s">
        <v>366</v>
      </c>
      <c r="F62" t="s">
        <v>307</v>
      </c>
      <c r="G62" t="s">
        <v>303</v>
      </c>
    </row>
    <row r="63" spans="1:7" x14ac:dyDescent="0.25">
      <c r="A63" t="s">
        <v>101</v>
      </c>
      <c r="B63" s="1">
        <v>46235.74013888889</v>
      </c>
      <c r="C63" t="s">
        <v>299</v>
      </c>
      <c r="D63" t="s">
        <v>300</v>
      </c>
      <c r="E63" t="s">
        <v>367</v>
      </c>
      <c r="F63" t="s">
        <v>311</v>
      </c>
      <c r="G63" t="s">
        <v>303</v>
      </c>
    </row>
    <row r="64" spans="1:7" x14ac:dyDescent="0.25">
      <c r="A64" t="s">
        <v>129</v>
      </c>
      <c r="B64" s="1">
        <v>46235.419398148151</v>
      </c>
      <c r="C64" t="s">
        <v>299</v>
      </c>
      <c r="D64" t="s">
        <v>300</v>
      </c>
      <c r="E64" t="s">
        <v>368</v>
      </c>
      <c r="F64" t="s">
        <v>311</v>
      </c>
      <c r="G64" t="s">
        <v>303</v>
      </c>
    </row>
    <row r="65" spans="1:7" x14ac:dyDescent="0.25">
      <c r="A65" t="s">
        <v>164</v>
      </c>
      <c r="B65" s="1">
        <v>46235.376631944448</v>
      </c>
      <c r="C65" t="s">
        <v>299</v>
      </c>
      <c r="D65" t="s">
        <v>300</v>
      </c>
      <c r="E65" t="s">
        <v>369</v>
      </c>
      <c r="F65" t="s">
        <v>302</v>
      </c>
      <c r="G65" t="s">
        <v>303</v>
      </c>
    </row>
    <row r="66" spans="1:7" x14ac:dyDescent="0.25">
      <c r="A66" t="s">
        <v>181</v>
      </c>
      <c r="B66" s="1">
        <v>46235.645462962966</v>
      </c>
      <c r="C66" t="s">
        <v>299</v>
      </c>
      <c r="D66" t="s">
        <v>300</v>
      </c>
      <c r="E66" t="s">
        <v>370</v>
      </c>
      <c r="F66" t="s">
        <v>311</v>
      </c>
      <c r="G66" t="s">
        <v>303</v>
      </c>
    </row>
    <row r="67" spans="1:7" x14ac:dyDescent="0.25">
      <c r="A67" t="s">
        <v>208</v>
      </c>
      <c r="B67" s="1">
        <v>46235.399768518517</v>
      </c>
      <c r="C67" t="s">
        <v>299</v>
      </c>
      <c r="D67" t="s">
        <v>300</v>
      </c>
      <c r="E67" t="s">
        <v>371</v>
      </c>
      <c r="F67" t="s">
        <v>305</v>
      </c>
      <c r="G67" t="s">
        <v>303</v>
      </c>
    </row>
    <row r="68" spans="1:7" x14ac:dyDescent="0.25">
      <c r="A68" t="s">
        <v>215</v>
      </c>
      <c r="B68" s="1">
        <v>46235.821736111109</v>
      </c>
      <c r="C68" t="s">
        <v>299</v>
      </c>
      <c r="D68" t="s">
        <v>300</v>
      </c>
      <c r="E68" t="s">
        <v>372</v>
      </c>
      <c r="F68" t="s">
        <v>307</v>
      </c>
      <c r="G68" t="s">
        <v>303</v>
      </c>
    </row>
    <row r="69" spans="1:7" x14ac:dyDescent="0.25">
      <c r="A69" t="s">
        <v>221</v>
      </c>
      <c r="B69" s="1">
        <v>46235.578287037039</v>
      </c>
      <c r="C69" t="s">
        <v>299</v>
      </c>
      <c r="D69" t="s">
        <v>300</v>
      </c>
      <c r="E69" t="s">
        <v>373</v>
      </c>
      <c r="F69" t="s">
        <v>302</v>
      </c>
      <c r="G69" t="s">
        <v>303</v>
      </c>
    </row>
    <row r="70" spans="1:7" x14ac:dyDescent="0.25">
      <c r="A70" t="s">
        <v>267</v>
      </c>
      <c r="B70" s="1">
        <v>46235.72859953704</v>
      </c>
      <c r="C70" t="s">
        <v>299</v>
      </c>
      <c r="D70" t="s">
        <v>300</v>
      </c>
      <c r="E70" t="s">
        <v>350</v>
      </c>
      <c r="F70" t="s">
        <v>307</v>
      </c>
      <c r="G70" t="s">
        <v>303</v>
      </c>
    </row>
    <row r="71" spans="1:7" x14ac:dyDescent="0.25">
      <c r="A71" t="s">
        <v>276</v>
      </c>
      <c r="B71" s="1">
        <v>46235.845266203702</v>
      </c>
      <c r="C71" t="s">
        <v>299</v>
      </c>
      <c r="D71" t="s">
        <v>300</v>
      </c>
      <c r="E71" t="s">
        <v>374</v>
      </c>
      <c r="F71" t="s">
        <v>302</v>
      </c>
      <c r="G71" t="s">
        <v>303</v>
      </c>
    </row>
    <row r="72" spans="1:7" x14ac:dyDescent="0.25">
      <c r="A72" t="s">
        <v>282</v>
      </c>
      <c r="B72" s="1">
        <v>46235.460358796299</v>
      </c>
      <c r="C72" t="s">
        <v>299</v>
      </c>
      <c r="D72" t="s">
        <v>300</v>
      </c>
      <c r="E72" t="s">
        <v>375</v>
      </c>
      <c r="F72" t="s">
        <v>311</v>
      </c>
      <c r="G72" t="s">
        <v>303</v>
      </c>
    </row>
    <row r="73" spans="1:7" x14ac:dyDescent="0.25">
      <c r="A73" t="s">
        <v>288</v>
      </c>
      <c r="B73" s="1">
        <v>46235.390659722223</v>
      </c>
      <c r="C73" t="s">
        <v>299</v>
      </c>
      <c r="D73" t="s">
        <v>300</v>
      </c>
      <c r="E73" t="s">
        <v>376</v>
      </c>
      <c r="F73" t="s">
        <v>307</v>
      </c>
      <c r="G73" t="s">
        <v>303</v>
      </c>
    </row>
    <row r="74" spans="1:7" x14ac:dyDescent="0.25">
      <c r="A74" t="s">
        <v>16</v>
      </c>
      <c r="B74" s="1">
        <v>46236.461655092593</v>
      </c>
      <c r="C74" t="s">
        <v>299</v>
      </c>
      <c r="D74" t="s">
        <v>300</v>
      </c>
      <c r="E74" t="s">
        <v>377</v>
      </c>
      <c r="F74" t="s">
        <v>302</v>
      </c>
      <c r="G74" t="s">
        <v>303</v>
      </c>
    </row>
    <row r="75" spans="1:7" x14ac:dyDescent="0.25">
      <c r="A75" t="s">
        <v>51</v>
      </c>
      <c r="B75" s="1">
        <v>46236.573113425926</v>
      </c>
      <c r="C75" t="s">
        <v>299</v>
      </c>
      <c r="D75" t="s">
        <v>300</v>
      </c>
      <c r="E75" t="s">
        <v>378</v>
      </c>
      <c r="F75" t="s">
        <v>302</v>
      </c>
      <c r="G75" t="s">
        <v>303</v>
      </c>
    </row>
    <row r="76" spans="1:7" x14ac:dyDescent="0.25">
      <c r="A76" t="s">
        <v>60</v>
      </c>
      <c r="B76" s="1">
        <v>46236.54824074074</v>
      </c>
      <c r="C76" t="s">
        <v>299</v>
      </c>
      <c r="D76" t="s">
        <v>300</v>
      </c>
      <c r="E76" t="s">
        <v>379</v>
      </c>
      <c r="F76" t="s">
        <v>307</v>
      </c>
      <c r="G76" t="s">
        <v>303</v>
      </c>
    </row>
    <row r="77" spans="1:7" x14ac:dyDescent="0.25">
      <c r="A77" t="s">
        <v>197</v>
      </c>
      <c r="B77" s="1">
        <v>46236.557858796295</v>
      </c>
      <c r="C77" t="s">
        <v>299</v>
      </c>
      <c r="D77" t="s">
        <v>300</v>
      </c>
      <c r="E77" t="s">
        <v>380</v>
      </c>
      <c r="F77" t="s">
        <v>302</v>
      </c>
      <c r="G77" t="s">
        <v>303</v>
      </c>
    </row>
    <row r="78" spans="1:7" x14ac:dyDescent="0.25">
      <c r="A78" t="s">
        <v>200</v>
      </c>
      <c r="B78" s="1">
        <v>46236.868495370371</v>
      </c>
      <c r="C78" t="s">
        <v>299</v>
      </c>
      <c r="D78" t="s">
        <v>300</v>
      </c>
      <c r="E78" t="s">
        <v>381</v>
      </c>
      <c r="F78" t="s">
        <v>305</v>
      </c>
      <c r="G78" t="s">
        <v>303</v>
      </c>
    </row>
    <row r="79" spans="1:7" x14ac:dyDescent="0.25">
      <c r="A79" t="s">
        <v>209</v>
      </c>
      <c r="B79" s="1">
        <v>46236.57236111111</v>
      </c>
      <c r="C79" t="s">
        <v>299</v>
      </c>
      <c r="D79" t="s">
        <v>300</v>
      </c>
      <c r="E79" t="s">
        <v>382</v>
      </c>
      <c r="F79" t="s">
        <v>307</v>
      </c>
      <c r="G79" t="s">
        <v>303</v>
      </c>
    </row>
    <row r="80" spans="1:7" x14ac:dyDescent="0.25">
      <c r="A80" t="s">
        <v>225</v>
      </c>
      <c r="B80" s="1">
        <v>46236.871041666665</v>
      </c>
      <c r="C80" t="s">
        <v>299</v>
      </c>
      <c r="D80" t="s">
        <v>300</v>
      </c>
      <c r="E80" t="s">
        <v>383</v>
      </c>
      <c r="F80" t="s">
        <v>307</v>
      </c>
      <c r="G80" t="s">
        <v>303</v>
      </c>
    </row>
    <row r="81" spans="1:7" x14ac:dyDescent="0.25">
      <c r="A81" t="s">
        <v>230</v>
      </c>
      <c r="B81" s="1">
        <v>46236.591736111113</v>
      </c>
      <c r="C81" t="s">
        <v>299</v>
      </c>
      <c r="D81" t="s">
        <v>300</v>
      </c>
      <c r="E81" t="s">
        <v>384</v>
      </c>
      <c r="F81" t="s">
        <v>302</v>
      </c>
      <c r="G81" t="s">
        <v>303</v>
      </c>
    </row>
    <row r="82" spans="1:7" x14ac:dyDescent="0.25">
      <c r="A82" t="s">
        <v>242</v>
      </c>
      <c r="B82" s="1">
        <v>46236.812962962962</v>
      </c>
      <c r="C82" t="s">
        <v>299</v>
      </c>
      <c r="D82" t="s">
        <v>300</v>
      </c>
      <c r="E82" t="s">
        <v>385</v>
      </c>
      <c r="F82" t="s">
        <v>302</v>
      </c>
      <c r="G82" t="s">
        <v>303</v>
      </c>
    </row>
    <row r="83" spans="1:7" x14ac:dyDescent="0.25">
      <c r="A83" t="s">
        <v>253</v>
      </c>
      <c r="B83" s="1">
        <v>46236.447453703702</v>
      </c>
      <c r="C83" t="s">
        <v>299</v>
      </c>
      <c r="D83" t="s">
        <v>300</v>
      </c>
      <c r="E83" t="s">
        <v>386</v>
      </c>
      <c r="F83" t="s">
        <v>307</v>
      </c>
      <c r="G83" t="s">
        <v>303</v>
      </c>
    </row>
    <row r="84" spans="1:7" x14ac:dyDescent="0.25">
      <c r="A84" t="s">
        <v>20</v>
      </c>
      <c r="B84" s="1">
        <v>46237.68482638889</v>
      </c>
      <c r="C84" t="s">
        <v>299</v>
      </c>
      <c r="D84" t="s">
        <v>300</v>
      </c>
      <c r="E84" t="s">
        <v>387</v>
      </c>
      <c r="F84" t="s">
        <v>311</v>
      </c>
      <c r="G84" t="s">
        <v>303</v>
      </c>
    </row>
    <row r="85" spans="1:7" x14ac:dyDescent="0.25">
      <c r="A85" t="s">
        <v>45</v>
      </c>
      <c r="B85" s="1">
        <v>46237.656053240738</v>
      </c>
      <c r="C85" t="s">
        <v>299</v>
      </c>
      <c r="D85" t="s">
        <v>300</v>
      </c>
      <c r="E85" t="s">
        <v>388</v>
      </c>
      <c r="F85" t="s">
        <v>305</v>
      </c>
      <c r="G85" t="s">
        <v>303</v>
      </c>
    </row>
    <row r="86" spans="1:7" x14ac:dyDescent="0.25">
      <c r="A86" t="s">
        <v>68</v>
      </c>
      <c r="B86" s="1">
        <v>46237.617488425924</v>
      </c>
      <c r="C86" t="s">
        <v>299</v>
      </c>
      <c r="D86" t="s">
        <v>300</v>
      </c>
      <c r="E86" t="s">
        <v>389</v>
      </c>
      <c r="F86" t="s">
        <v>307</v>
      </c>
      <c r="G86" t="s">
        <v>303</v>
      </c>
    </row>
    <row r="87" spans="1:7" x14ac:dyDescent="0.25">
      <c r="A87" t="s">
        <v>77</v>
      </c>
      <c r="B87" s="1">
        <v>46237.756550925929</v>
      </c>
      <c r="C87" t="s">
        <v>299</v>
      </c>
      <c r="D87" t="s">
        <v>300</v>
      </c>
      <c r="E87" t="s">
        <v>390</v>
      </c>
      <c r="F87" t="s">
        <v>311</v>
      </c>
      <c r="G87" t="s">
        <v>303</v>
      </c>
    </row>
    <row r="88" spans="1:7" x14ac:dyDescent="0.25">
      <c r="A88" t="s">
        <v>93</v>
      </c>
      <c r="B88" s="1">
        <v>46237.71398148148</v>
      </c>
      <c r="C88" t="s">
        <v>299</v>
      </c>
      <c r="D88" t="s">
        <v>300</v>
      </c>
      <c r="E88" t="s">
        <v>391</v>
      </c>
      <c r="F88" t="s">
        <v>305</v>
      </c>
      <c r="G88" t="s">
        <v>303</v>
      </c>
    </row>
    <row r="89" spans="1:7" x14ac:dyDescent="0.25">
      <c r="A89" t="s">
        <v>110</v>
      </c>
      <c r="B89" s="1">
        <v>46237.555162037039</v>
      </c>
      <c r="C89" t="s">
        <v>299</v>
      </c>
      <c r="D89" t="s">
        <v>300</v>
      </c>
      <c r="E89" t="s">
        <v>392</v>
      </c>
      <c r="F89" t="s">
        <v>311</v>
      </c>
      <c r="G89" t="s">
        <v>303</v>
      </c>
    </row>
    <row r="90" spans="1:7" x14ac:dyDescent="0.25">
      <c r="A90" t="s">
        <v>119</v>
      </c>
      <c r="B90" s="1">
        <v>46237.39707175926</v>
      </c>
      <c r="C90" t="s">
        <v>299</v>
      </c>
      <c r="D90" t="s">
        <v>300</v>
      </c>
      <c r="E90" t="s">
        <v>393</v>
      </c>
      <c r="F90" t="s">
        <v>305</v>
      </c>
      <c r="G90" t="s">
        <v>303</v>
      </c>
    </row>
    <row r="91" spans="1:7" x14ac:dyDescent="0.25">
      <c r="A91" t="s">
        <v>139</v>
      </c>
      <c r="B91" s="1">
        <v>46237.478865740741</v>
      </c>
      <c r="C91" t="s">
        <v>299</v>
      </c>
      <c r="D91" t="s">
        <v>300</v>
      </c>
      <c r="E91" t="s">
        <v>394</v>
      </c>
      <c r="F91" t="s">
        <v>302</v>
      </c>
      <c r="G91" t="s">
        <v>303</v>
      </c>
    </row>
    <row r="92" spans="1:7" x14ac:dyDescent="0.25">
      <c r="A92" t="s">
        <v>146</v>
      </c>
      <c r="B92" s="1">
        <v>46237.404074074075</v>
      </c>
      <c r="C92" t="s">
        <v>299</v>
      </c>
      <c r="D92" t="s">
        <v>300</v>
      </c>
      <c r="E92" t="s">
        <v>395</v>
      </c>
      <c r="F92" t="s">
        <v>302</v>
      </c>
      <c r="G92" t="s">
        <v>303</v>
      </c>
    </row>
    <row r="93" spans="1:7" x14ac:dyDescent="0.25">
      <c r="A93" t="s">
        <v>193</v>
      </c>
      <c r="B93" s="1">
        <v>46237.871712962966</v>
      </c>
      <c r="C93" t="s">
        <v>299</v>
      </c>
      <c r="D93" t="s">
        <v>300</v>
      </c>
      <c r="E93" t="s">
        <v>396</v>
      </c>
      <c r="F93" t="s">
        <v>307</v>
      </c>
      <c r="G93" t="s">
        <v>303</v>
      </c>
    </row>
    <row r="94" spans="1:7" x14ac:dyDescent="0.25">
      <c r="A94" t="s">
        <v>206</v>
      </c>
      <c r="B94" s="1">
        <v>46237.464745370373</v>
      </c>
      <c r="C94" t="s">
        <v>299</v>
      </c>
      <c r="D94" t="s">
        <v>300</v>
      </c>
      <c r="E94" t="s">
        <v>397</v>
      </c>
      <c r="F94" t="s">
        <v>305</v>
      </c>
      <c r="G94" t="s">
        <v>303</v>
      </c>
    </row>
    <row r="95" spans="1:7" x14ac:dyDescent="0.25">
      <c r="A95" t="s">
        <v>219</v>
      </c>
      <c r="B95" s="1">
        <v>46237.643425925926</v>
      </c>
      <c r="C95" t="s">
        <v>299</v>
      </c>
      <c r="D95" t="s">
        <v>300</v>
      </c>
      <c r="E95" t="s">
        <v>398</v>
      </c>
      <c r="F95" t="s">
        <v>302</v>
      </c>
      <c r="G95" t="s">
        <v>303</v>
      </c>
    </row>
    <row r="96" spans="1:7" x14ac:dyDescent="0.25">
      <c r="A96" t="s">
        <v>244</v>
      </c>
      <c r="B96" s="1">
        <v>46237.458043981482</v>
      </c>
      <c r="C96" t="s">
        <v>299</v>
      </c>
      <c r="D96" t="s">
        <v>300</v>
      </c>
      <c r="E96" t="s">
        <v>399</v>
      </c>
      <c r="F96" t="s">
        <v>302</v>
      </c>
      <c r="G96" t="s">
        <v>303</v>
      </c>
    </row>
    <row r="97" spans="1:7" x14ac:dyDescent="0.25">
      <c r="A97" t="s">
        <v>261</v>
      </c>
      <c r="B97" s="1">
        <v>46237.632337962961</v>
      </c>
      <c r="C97" t="s">
        <v>299</v>
      </c>
      <c r="D97" t="s">
        <v>300</v>
      </c>
      <c r="E97" t="s">
        <v>400</v>
      </c>
      <c r="F97" t="s">
        <v>305</v>
      </c>
      <c r="G97" t="s">
        <v>303</v>
      </c>
    </row>
    <row r="98" spans="1:7" x14ac:dyDescent="0.25">
      <c r="A98" t="s">
        <v>269</v>
      </c>
      <c r="B98" s="1">
        <v>46237.747210648151</v>
      </c>
      <c r="C98" t="s">
        <v>299</v>
      </c>
      <c r="D98" t="s">
        <v>300</v>
      </c>
      <c r="E98" t="s">
        <v>401</v>
      </c>
      <c r="F98" t="s">
        <v>305</v>
      </c>
      <c r="G98" t="s">
        <v>303</v>
      </c>
    </row>
    <row r="99" spans="1:7" x14ac:dyDescent="0.25">
      <c r="A99" t="s">
        <v>402</v>
      </c>
      <c r="B99" s="1">
        <v>46238.736979166664</v>
      </c>
      <c r="C99" t="s">
        <v>299</v>
      </c>
      <c r="D99" t="s">
        <v>300</v>
      </c>
      <c r="E99" t="s">
        <v>403</v>
      </c>
      <c r="F99" t="s">
        <v>307</v>
      </c>
      <c r="G99" t="s">
        <v>303</v>
      </c>
    </row>
    <row r="100" spans="1:7" x14ac:dyDescent="0.25">
      <c r="A100" t="s">
        <v>404</v>
      </c>
      <c r="B100" s="1">
        <v>46238.501076388886</v>
      </c>
      <c r="C100" t="s">
        <v>299</v>
      </c>
      <c r="D100" t="s">
        <v>300</v>
      </c>
      <c r="E100" t="s">
        <v>405</v>
      </c>
      <c r="F100" t="s">
        <v>307</v>
      </c>
      <c r="G100" t="s">
        <v>303</v>
      </c>
    </row>
    <row r="101" spans="1:7" x14ac:dyDescent="0.25">
      <c r="A101" t="s">
        <v>406</v>
      </c>
      <c r="B101" s="1">
        <v>46238.669282407405</v>
      </c>
      <c r="C101" t="s">
        <v>299</v>
      </c>
      <c r="D101" t="s">
        <v>300</v>
      </c>
      <c r="E101" t="s">
        <v>407</v>
      </c>
      <c r="F101" t="s">
        <v>311</v>
      </c>
      <c r="G101" t="s">
        <v>303</v>
      </c>
    </row>
    <row r="102" spans="1:7" x14ac:dyDescent="0.25">
      <c r="A102" t="s">
        <v>408</v>
      </c>
      <c r="B102" s="1">
        <v>46238.475474537037</v>
      </c>
      <c r="C102" t="s">
        <v>299</v>
      </c>
      <c r="D102" t="s">
        <v>300</v>
      </c>
      <c r="E102" t="s">
        <v>409</v>
      </c>
      <c r="F102" t="s">
        <v>311</v>
      </c>
      <c r="G102" t="s">
        <v>303</v>
      </c>
    </row>
    <row r="103" spans="1:7" x14ac:dyDescent="0.25">
      <c r="A103" t="s">
        <v>410</v>
      </c>
      <c r="B103" s="1">
        <v>46238.837071759262</v>
      </c>
      <c r="C103" t="s">
        <v>299</v>
      </c>
      <c r="D103" t="s">
        <v>300</v>
      </c>
      <c r="E103" t="s">
        <v>411</v>
      </c>
      <c r="F103" t="s">
        <v>311</v>
      </c>
      <c r="G103" t="s">
        <v>303</v>
      </c>
    </row>
    <row r="104" spans="1:7" x14ac:dyDescent="0.25">
      <c r="A104" t="s">
        <v>412</v>
      </c>
      <c r="B104" s="1">
        <v>46238.539861111109</v>
      </c>
      <c r="C104" t="s">
        <v>299</v>
      </c>
      <c r="D104" t="s">
        <v>300</v>
      </c>
      <c r="E104" t="s">
        <v>413</v>
      </c>
      <c r="F104" t="s">
        <v>311</v>
      </c>
      <c r="G104" t="s">
        <v>303</v>
      </c>
    </row>
    <row r="105" spans="1:7" x14ac:dyDescent="0.25">
      <c r="A105" t="s">
        <v>414</v>
      </c>
      <c r="B105" s="1">
        <v>46238.546840277777</v>
      </c>
      <c r="C105" t="s">
        <v>299</v>
      </c>
      <c r="D105" t="s">
        <v>300</v>
      </c>
      <c r="E105" t="s">
        <v>415</v>
      </c>
      <c r="F105" t="s">
        <v>305</v>
      </c>
      <c r="G105" t="s">
        <v>303</v>
      </c>
    </row>
    <row r="106" spans="1:7" x14ac:dyDescent="0.25">
      <c r="A106" t="s">
        <v>416</v>
      </c>
      <c r="B106" s="1">
        <v>46239.792824074073</v>
      </c>
      <c r="C106" t="s">
        <v>299</v>
      </c>
      <c r="D106" t="s">
        <v>300</v>
      </c>
      <c r="E106" t="s">
        <v>417</v>
      </c>
      <c r="F106" t="s">
        <v>311</v>
      </c>
      <c r="G106" t="s">
        <v>303</v>
      </c>
    </row>
    <row r="107" spans="1:7" x14ac:dyDescent="0.25">
      <c r="A107" t="s">
        <v>418</v>
      </c>
      <c r="B107" s="1">
        <v>46239.419652777775</v>
      </c>
      <c r="C107" t="s">
        <v>299</v>
      </c>
      <c r="D107" t="s">
        <v>300</v>
      </c>
      <c r="E107" t="s">
        <v>419</v>
      </c>
      <c r="F107" t="s">
        <v>311</v>
      </c>
      <c r="G107" t="s">
        <v>303</v>
      </c>
    </row>
    <row r="108" spans="1:7" x14ac:dyDescent="0.25">
      <c r="A108" t="s">
        <v>420</v>
      </c>
      <c r="B108" s="1">
        <v>46239.673449074071</v>
      </c>
      <c r="C108" t="s">
        <v>299</v>
      </c>
      <c r="D108" t="s">
        <v>300</v>
      </c>
      <c r="E108" t="s">
        <v>421</v>
      </c>
      <c r="F108" t="s">
        <v>305</v>
      </c>
      <c r="G108" t="s">
        <v>303</v>
      </c>
    </row>
    <row r="109" spans="1:7" x14ac:dyDescent="0.25">
      <c r="A109" t="s">
        <v>422</v>
      </c>
      <c r="B109" s="1">
        <v>46239.647418981483</v>
      </c>
      <c r="C109" t="s">
        <v>299</v>
      </c>
      <c r="D109" t="s">
        <v>300</v>
      </c>
      <c r="E109" t="s">
        <v>423</v>
      </c>
      <c r="F109" t="s">
        <v>307</v>
      </c>
      <c r="G109" t="s">
        <v>303</v>
      </c>
    </row>
    <row r="110" spans="1:7" x14ac:dyDescent="0.25">
      <c r="A110" t="s">
        <v>424</v>
      </c>
      <c r="B110" s="1">
        <v>46239.516018518516</v>
      </c>
      <c r="C110" t="s">
        <v>299</v>
      </c>
      <c r="D110" t="s">
        <v>300</v>
      </c>
      <c r="E110" t="s">
        <v>425</v>
      </c>
      <c r="F110" t="s">
        <v>302</v>
      </c>
      <c r="G110" t="s">
        <v>303</v>
      </c>
    </row>
    <row r="111" spans="1:7" x14ac:dyDescent="0.25">
      <c r="A111" t="s">
        <v>426</v>
      </c>
      <c r="B111" s="1">
        <v>46239.424131944441</v>
      </c>
      <c r="C111" t="s">
        <v>299</v>
      </c>
      <c r="D111" t="s">
        <v>300</v>
      </c>
      <c r="E111" t="s">
        <v>427</v>
      </c>
      <c r="F111" t="s">
        <v>307</v>
      </c>
      <c r="G111" t="s">
        <v>303</v>
      </c>
    </row>
    <row r="112" spans="1:7" x14ac:dyDescent="0.25">
      <c r="A112" t="s">
        <v>428</v>
      </c>
      <c r="B112" s="1">
        <v>46239.73238425926</v>
      </c>
      <c r="C112" t="s">
        <v>299</v>
      </c>
      <c r="D112" t="s">
        <v>300</v>
      </c>
      <c r="E112" t="s">
        <v>429</v>
      </c>
      <c r="F112" t="s">
        <v>302</v>
      </c>
      <c r="G112" t="s">
        <v>303</v>
      </c>
    </row>
    <row r="113" spans="1:7" x14ac:dyDescent="0.25">
      <c r="A113" t="s">
        <v>430</v>
      </c>
      <c r="B113" s="1">
        <v>46239.524131944447</v>
      </c>
      <c r="C113" t="s">
        <v>299</v>
      </c>
      <c r="D113" t="s">
        <v>300</v>
      </c>
      <c r="E113" t="s">
        <v>431</v>
      </c>
      <c r="F113" t="s">
        <v>311</v>
      </c>
      <c r="G113" t="s">
        <v>303</v>
      </c>
    </row>
    <row r="114" spans="1:7" x14ac:dyDescent="0.25">
      <c r="A114" t="s">
        <v>432</v>
      </c>
      <c r="B114" s="1">
        <v>46239.593356481484</v>
      </c>
      <c r="C114" t="s">
        <v>299</v>
      </c>
      <c r="D114" t="s">
        <v>300</v>
      </c>
      <c r="E114" t="s">
        <v>433</v>
      </c>
      <c r="F114" t="s">
        <v>305</v>
      </c>
      <c r="G114" t="s">
        <v>303</v>
      </c>
    </row>
    <row r="115" spans="1:7" x14ac:dyDescent="0.25">
      <c r="A115" t="s">
        <v>434</v>
      </c>
      <c r="B115" s="1">
        <v>46239.755578703705</v>
      </c>
      <c r="C115" t="s">
        <v>299</v>
      </c>
      <c r="D115" t="s">
        <v>300</v>
      </c>
      <c r="E115" t="s">
        <v>435</v>
      </c>
      <c r="F115" t="s">
        <v>302</v>
      </c>
      <c r="G115" t="s">
        <v>303</v>
      </c>
    </row>
    <row r="116" spans="1:7" x14ac:dyDescent="0.25">
      <c r="A116" t="s">
        <v>436</v>
      </c>
      <c r="B116" s="1">
        <v>46240.441122685188</v>
      </c>
      <c r="C116" t="s">
        <v>299</v>
      </c>
      <c r="D116" t="s">
        <v>300</v>
      </c>
      <c r="E116" t="s">
        <v>437</v>
      </c>
      <c r="F116" t="s">
        <v>311</v>
      </c>
      <c r="G116" t="s">
        <v>303</v>
      </c>
    </row>
    <row r="117" spans="1:7" x14ac:dyDescent="0.25">
      <c r="A117" t="s">
        <v>438</v>
      </c>
      <c r="B117" s="1">
        <v>46240.535497685189</v>
      </c>
      <c r="C117" t="s">
        <v>299</v>
      </c>
      <c r="D117" t="s">
        <v>300</v>
      </c>
      <c r="E117" t="s">
        <v>439</v>
      </c>
      <c r="F117" t="s">
        <v>302</v>
      </c>
      <c r="G117" t="s">
        <v>303</v>
      </c>
    </row>
    <row r="118" spans="1:7" x14ac:dyDescent="0.25">
      <c r="A118" t="s">
        <v>440</v>
      </c>
      <c r="B118" s="1">
        <v>46240.546990740739</v>
      </c>
      <c r="C118" t="s">
        <v>299</v>
      </c>
      <c r="D118" t="s">
        <v>300</v>
      </c>
      <c r="E118" t="s">
        <v>441</v>
      </c>
      <c r="F118" t="s">
        <v>302</v>
      </c>
      <c r="G118" t="s">
        <v>303</v>
      </c>
    </row>
    <row r="119" spans="1:7" x14ac:dyDescent="0.25">
      <c r="A119" t="s">
        <v>442</v>
      </c>
      <c r="B119" s="1">
        <v>46240.694988425923</v>
      </c>
      <c r="C119" t="s">
        <v>299</v>
      </c>
      <c r="D119" t="s">
        <v>300</v>
      </c>
      <c r="E119" t="s">
        <v>443</v>
      </c>
      <c r="F119" t="s">
        <v>311</v>
      </c>
      <c r="G119" t="s">
        <v>303</v>
      </c>
    </row>
    <row r="120" spans="1:7" x14ac:dyDescent="0.25">
      <c r="A120" t="s">
        <v>444</v>
      </c>
      <c r="B120" s="1">
        <v>46240.86142361111</v>
      </c>
      <c r="C120" t="s">
        <v>299</v>
      </c>
      <c r="D120" t="s">
        <v>300</v>
      </c>
      <c r="E120" t="s">
        <v>445</v>
      </c>
      <c r="F120" t="s">
        <v>311</v>
      </c>
      <c r="G120" t="s">
        <v>303</v>
      </c>
    </row>
    <row r="121" spans="1:7" x14ac:dyDescent="0.25">
      <c r="A121" t="s">
        <v>446</v>
      </c>
      <c r="B121" s="1">
        <v>46240.56453703704</v>
      </c>
      <c r="C121" t="s">
        <v>299</v>
      </c>
      <c r="D121" t="s">
        <v>300</v>
      </c>
      <c r="E121" t="s">
        <v>447</v>
      </c>
      <c r="F121" t="s">
        <v>307</v>
      </c>
      <c r="G121" t="s">
        <v>303</v>
      </c>
    </row>
    <row r="122" spans="1:7" x14ac:dyDescent="0.25">
      <c r="A122" t="s">
        <v>448</v>
      </c>
      <c r="B122" s="1">
        <v>46240.575046296297</v>
      </c>
      <c r="C122" t="s">
        <v>299</v>
      </c>
      <c r="D122" t="s">
        <v>300</v>
      </c>
      <c r="E122" t="s">
        <v>449</v>
      </c>
      <c r="F122" t="s">
        <v>307</v>
      </c>
      <c r="G122" t="s">
        <v>303</v>
      </c>
    </row>
    <row r="123" spans="1:7" x14ac:dyDescent="0.25">
      <c r="A123" t="s">
        <v>450</v>
      </c>
      <c r="B123" s="1">
        <v>46240.586631944447</v>
      </c>
      <c r="C123" t="s">
        <v>299</v>
      </c>
      <c r="D123" t="s">
        <v>300</v>
      </c>
      <c r="E123" t="s">
        <v>451</v>
      </c>
      <c r="F123" t="s">
        <v>302</v>
      </c>
      <c r="G123" t="s">
        <v>303</v>
      </c>
    </row>
    <row r="124" spans="1:7" x14ac:dyDescent="0.25">
      <c r="A124" t="s">
        <v>452</v>
      </c>
      <c r="B124" s="1">
        <v>46240.778252314813</v>
      </c>
      <c r="C124" t="s">
        <v>299</v>
      </c>
      <c r="D124" t="s">
        <v>300</v>
      </c>
      <c r="E124" t="s">
        <v>453</v>
      </c>
      <c r="F124" t="s">
        <v>311</v>
      </c>
      <c r="G124" t="s">
        <v>303</v>
      </c>
    </row>
    <row r="125" spans="1:7" x14ac:dyDescent="0.25">
      <c r="A125" t="s">
        <v>454</v>
      </c>
      <c r="B125" s="1">
        <v>46240.60224537037</v>
      </c>
      <c r="C125" t="s">
        <v>299</v>
      </c>
      <c r="D125" t="s">
        <v>300</v>
      </c>
      <c r="E125" t="s">
        <v>455</v>
      </c>
      <c r="F125" t="s">
        <v>311</v>
      </c>
      <c r="G125" t="s">
        <v>303</v>
      </c>
    </row>
    <row r="126" spans="1:7" x14ac:dyDescent="0.25">
      <c r="A126" t="s">
        <v>456</v>
      </c>
      <c r="B126" s="1">
        <v>46240.499606481484</v>
      </c>
      <c r="C126" t="s">
        <v>299</v>
      </c>
      <c r="D126" t="s">
        <v>300</v>
      </c>
      <c r="E126" t="s">
        <v>457</v>
      </c>
      <c r="F126" t="s">
        <v>305</v>
      </c>
      <c r="G126" t="s">
        <v>303</v>
      </c>
    </row>
    <row r="127" spans="1:7" x14ac:dyDescent="0.25">
      <c r="A127" t="s">
        <v>458</v>
      </c>
      <c r="B127" s="1">
        <v>46240.821412037039</v>
      </c>
      <c r="C127" t="s">
        <v>299</v>
      </c>
      <c r="D127" t="s">
        <v>300</v>
      </c>
      <c r="E127" t="s">
        <v>459</v>
      </c>
      <c r="F127" t="s">
        <v>311</v>
      </c>
      <c r="G127" t="s">
        <v>303</v>
      </c>
    </row>
    <row r="128" spans="1:7" x14ac:dyDescent="0.25">
      <c r="A128" t="s">
        <v>460</v>
      </c>
      <c r="B128" s="1">
        <v>46240.570393518516</v>
      </c>
      <c r="C128" t="s">
        <v>299</v>
      </c>
      <c r="D128" t="s">
        <v>300</v>
      </c>
      <c r="E128" t="s">
        <v>461</v>
      </c>
      <c r="F128" t="s">
        <v>302</v>
      </c>
      <c r="G128" t="s">
        <v>303</v>
      </c>
    </row>
    <row r="129" spans="1:7" x14ac:dyDescent="0.25">
      <c r="A129" t="s">
        <v>462</v>
      </c>
      <c r="B129" s="1">
        <v>46240.682314814818</v>
      </c>
      <c r="C129" t="s">
        <v>299</v>
      </c>
      <c r="D129" t="s">
        <v>300</v>
      </c>
      <c r="E129" t="s">
        <v>463</v>
      </c>
      <c r="F129" t="s">
        <v>305</v>
      </c>
      <c r="G129" t="s">
        <v>303</v>
      </c>
    </row>
    <row r="130" spans="1:7" x14ac:dyDescent="0.25">
      <c r="A130" t="s">
        <v>464</v>
      </c>
      <c r="B130" s="1">
        <v>46241.395787037036</v>
      </c>
      <c r="C130" t="s">
        <v>299</v>
      </c>
      <c r="D130" t="s">
        <v>300</v>
      </c>
      <c r="E130" t="s">
        <v>465</v>
      </c>
      <c r="F130" t="s">
        <v>305</v>
      </c>
      <c r="G130" t="s">
        <v>303</v>
      </c>
    </row>
    <row r="131" spans="1:7" x14ac:dyDescent="0.25">
      <c r="A131" t="s">
        <v>466</v>
      </c>
      <c r="B131" s="1">
        <v>46241.8518287037</v>
      </c>
      <c r="C131" t="s">
        <v>299</v>
      </c>
      <c r="D131" t="s">
        <v>300</v>
      </c>
      <c r="E131" t="s">
        <v>467</v>
      </c>
      <c r="F131" t="s">
        <v>311</v>
      </c>
      <c r="G131" t="s">
        <v>303</v>
      </c>
    </row>
    <row r="132" spans="1:7" x14ac:dyDescent="0.25">
      <c r="A132" t="s">
        <v>468</v>
      </c>
      <c r="B132" s="1">
        <v>46241.543287037035</v>
      </c>
      <c r="C132" t="s">
        <v>299</v>
      </c>
      <c r="D132" t="s">
        <v>300</v>
      </c>
      <c r="E132" t="s">
        <v>469</v>
      </c>
      <c r="F132" t="s">
        <v>302</v>
      </c>
      <c r="G132" t="s">
        <v>303</v>
      </c>
    </row>
    <row r="133" spans="1:7" x14ac:dyDescent="0.25">
      <c r="A133" t="s">
        <v>470</v>
      </c>
      <c r="B133" s="1">
        <v>46241.596041666664</v>
      </c>
      <c r="C133" t="s">
        <v>299</v>
      </c>
      <c r="D133" t="s">
        <v>300</v>
      </c>
      <c r="E133" t="s">
        <v>471</v>
      </c>
      <c r="F133" t="s">
        <v>307</v>
      </c>
      <c r="G133" t="s">
        <v>303</v>
      </c>
    </row>
    <row r="134" spans="1:7" x14ac:dyDescent="0.25">
      <c r="A134" t="s">
        <v>472</v>
      </c>
      <c r="B134" s="1">
        <v>46241.824074074073</v>
      </c>
      <c r="C134" t="s">
        <v>299</v>
      </c>
      <c r="D134" t="s">
        <v>300</v>
      </c>
      <c r="E134" t="s">
        <v>473</v>
      </c>
      <c r="F134" t="s">
        <v>311</v>
      </c>
      <c r="G134" t="s">
        <v>303</v>
      </c>
    </row>
    <row r="135" spans="1:7" x14ac:dyDescent="0.25">
      <c r="A135" t="s">
        <v>474</v>
      </c>
      <c r="B135" s="1">
        <v>46241.615127314813</v>
      </c>
      <c r="C135" t="s">
        <v>299</v>
      </c>
      <c r="D135" t="s">
        <v>300</v>
      </c>
      <c r="E135" t="s">
        <v>475</v>
      </c>
      <c r="F135" t="s">
        <v>311</v>
      </c>
      <c r="G135" t="s">
        <v>303</v>
      </c>
    </row>
    <row r="136" spans="1:7" x14ac:dyDescent="0.25">
      <c r="A136" t="s">
        <v>476</v>
      </c>
      <c r="B136" s="1">
        <v>46241.596203703702</v>
      </c>
      <c r="C136" t="s">
        <v>299</v>
      </c>
      <c r="D136" t="s">
        <v>300</v>
      </c>
      <c r="E136" t="s">
        <v>477</v>
      </c>
      <c r="F136" t="s">
        <v>311</v>
      </c>
      <c r="G136" t="s">
        <v>303</v>
      </c>
    </row>
    <row r="137" spans="1:7" x14ac:dyDescent="0.25">
      <c r="A137" t="s">
        <v>478</v>
      </c>
      <c r="B137" s="1">
        <v>46241.48537037037</v>
      </c>
      <c r="C137" t="s">
        <v>299</v>
      </c>
      <c r="D137" t="s">
        <v>300</v>
      </c>
      <c r="E137" t="s">
        <v>479</v>
      </c>
      <c r="F137" t="s">
        <v>305</v>
      </c>
      <c r="G137" t="s">
        <v>303</v>
      </c>
    </row>
    <row r="138" spans="1:7" x14ac:dyDescent="0.25">
      <c r="A138" t="s">
        <v>70</v>
      </c>
      <c r="B138" s="1">
        <v>46230.536134259259</v>
      </c>
      <c r="C138" t="s">
        <v>480</v>
      </c>
      <c r="D138" t="s">
        <v>481</v>
      </c>
      <c r="E138" t="s">
        <v>482</v>
      </c>
      <c r="F138" t="s">
        <v>302</v>
      </c>
      <c r="G138" t="s">
        <v>483</v>
      </c>
    </row>
    <row r="139" spans="1:7" x14ac:dyDescent="0.25">
      <c r="A139" t="s">
        <v>118</v>
      </c>
      <c r="B139" s="1">
        <v>46230.820405092592</v>
      </c>
      <c r="C139" t="s">
        <v>480</v>
      </c>
      <c r="D139" t="s">
        <v>481</v>
      </c>
      <c r="E139" t="s">
        <v>484</v>
      </c>
      <c r="F139" t="s">
        <v>311</v>
      </c>
      <c r="G139" t="s">
        <v>485</v>
      </c>
    </row>
    <row r="140" spans="1:7" x14ac:dyDescent="0.25">
      <c r="A140" t="s">
        <v>191</v>
      </c>
      <c r="B140" s="1">
        <v>46230.857743055552</v>
      </c>
      <c r="C140" t="s">
        <v>480</v>
      </c>
      <c r="D140" t="s">
        <v>481</v>
      </c>
      <c r="E140" t="s">
        <v>486</v>
      </c>
      <c r="F140" t="s">
        <v>311</v>
      </c>
      <c r="G140" t="s">
        <v>487</v>
      </c>
    </row>
    <row r="141" spans="1:7" x14ac:dyDescent="0.25">
      <c r="A141" t="s">
        <v>97</v>
      </c>
      <c r="B141" s="1">
        <v>46231.491608796299</v>
      </c>
      <c r="C141" t="s">
        <v>480</v>
      </c>
      <c r="D141" t="s">
        <v>481</v>
      </c>
      <c r="E141" t="s">
        <v>488</v>
      </c>
      <c r="F141" t="s">
        <v>307</v>
      </c>
      <c r="G141" t="s">
        <v>483</v>
      </c>
    </row>
    <row r="142" spans="1:7" x14ac:dyDescent="0.25">
      <c r="A142" t="s">
        <v>122</v>
      </c>
      <c r="B142" s="1">
        <v>46231.667638888888</v>
      </c>
      <c r="C142" t="s">
        <v>480</v>
      </c>
      <c r="D142" t="s">
        <v>481</v>
      </c>
      <c r="E142" t="s">
        <v>489</v>
      </c>
      <c r="F142" t="s">
        <v>307</v>
      </c>
      <c r="G142" t="s">
        <v>487</v>
      </c>
    </row>
    <row r="143" spans="1:7" x14ac:dyDescent="0.25">
      <c r="A143" t="s">
        <v>133</v>
      </c>
      <c r="B143" s="1">
        <v>46231.639039351852</v>
      </c>
      <c r="C143" t="s">
        <v>480</v>
      </c>
      <c r="D143" t="s">
        <v>481</v>
      </c>
      <c r="E143" t="s">
        <v>490</v>
      </c>
      <c r="F143" t="s">
        <v>305</v>
      </c>
      <c r="G143" t="s">
        <v>483</v>
      </c>
    </row>
    <row r="144" spans="1:7" x14ac:dyDescent="0.25">
      <c r="A144" t="s">
        <v>160</v>
      </c>
      <c r="B144" s="1">
        <v>46231.780532407407</v>
      </c>
      <c r="C144" t="s">
        <v>480</v>
      </c>
      <c r="D144" t="s">
        <v>481</v>
      </c>
      <c r="E144" t="s">
        <v>491</v>
      </c>
      <c r="F144" t="s">
        <v>311</v>
      </c>
      <c r="G144" t="s">
        <v>487</v>
      </c>
    </row>
    <row r="145" spans="1:7" x14ac:dyDescent="0.25">
      <c r="A145" t="s">
        <v>184</v>
      </c>
      <c r="B145" s="1">
        <v>46231.777569444443</v>
      </c>
      <c r="C145" t="s">
        <v>480</v>
      </c>
      <c r="D145" t="s">
        <v>481</v>
      </c>
      <c r="E145" t="s">
        <v>492</v>
      </c>
      <c r="F145" t="s">
        <v>305</v>
      </c>
      <c r="G145" t="s">
        <v>485</v>
      </c>
    </row>
    <row r="146" spans="1:7" x14ac:dyDescent="0.25">
      <c r="A146" t="s">
        <v>203</v>
      </c>
      <c r="B146" s="1">
        <v>46231.655729166669</v>
      </c>
      <c r="C146" t="s">
        <v>480</v>
      </c>
      <c r="D146" t="s">
        <v>481</v>
      </c>
      <c r="E146" t="s">
        <v>493</v>
      </c>
      <c r="F146" t="s">
        <v>311</v>
      </c>
      <c r="G146" t="s">
        <v>494</v>
      </c>
    </row>
    <row r="147" spans="1:7" x14ac:dyDescent="0.25">
      <c r="A147" t="s">
        <v>227</v>
      </c>
      <c r="B147" s="1">
        <v>46231.400208333333</v>
      </c>
      <c r="C147" t="s">
        <v>480</v>
      </c>
      <c r="D147" t="s">
        <v>481</v>
      </c>
      <c r="E147" t="s">
        <v>495</v>
      </c>
      <c r="F147" t="s">
        <v>305</v>
      </c>
      <c r="G147" t="s">
        <v>494</v>
      </c>
    </row>
    <row r="148" spans="1:7" x14ac:dyDescent="0.25">
      <c r="A148" t="s">
        <v>238</v>
      </c>
      <c r="B148" s="1">
        <v>46231.707268518519</v>
      </c>
      <c r="C148" t="s">
        <v>480</v>
      </c>
      <c r="D148" t="s">
        <v>481</v>
      </c>
      <c r="E148" t="s">
        <v>496</v>
      </c>
      <c r="F148" t="s">
        <v>311</v>
      </c>
      <c r="G148" t="s">
        <v>483</v>
      </c>
    </row>
    <row r="149" spans="1:7" x14ac:dyDescent="0.25">
      <c r="A149" t="s">
        <v>243</v>
      </c>
      <c r="B149" s="1">
        <v>46231.543217592596</v>
      </c>
      <c r="C149" t="s">
        <v>480</v>
      </c>
      <c r="D149" t="s">
        <v>481</v>
      </c>
      <c r="E149" t="s">
        <v>497</v>
      </c>
      <c r="F149" t="s">
        <v>311</v>
      </c>
      <c r="G149" t="s">
        <v>494</v>
      </c>
    </row>
    <row r="150" spans="1:7" x14ac:dyDescent="0.25">
      <c r="A150" t="s">
        <v>250</v>
      </c>
      <c r="B150" s="1">
        <v>46231.437314814815</v>
      </c>
      <c r="C150" t="s">
        <v>480</v>
      </c>
      <c r="D150" t="s">
        <v>481</v>
      </c>
      <c r="E150" t="s">
        <v>498</v>
      </c>
      <c r="F150" t="s">
        <v>311</v>
      </c>
      <c r="G150" t="s">
        <v>483</v>
      </c>
    </row>
    <row r="151" spans="1:7" x14ac:dyDescent="0.25">
      <c r="A151" t="s">
        <v>266</v>
      </c>
      <c r="B151" s="1">
        <v>46231.655914351853</v>
      </c>
      <c r="C151" t="s">
        <v>480</v>
      </c>
      <c r="D151" t="s">
        <v>481</v>
      </c>
      <c r="E151" t="s">
        <v>499</v>
      </c>
      <c r="F151" t="s">
        <v>307</v>
      </c>
      <c r="G151" t="s">
        <v>485</v>
      </c>
    </row>
    <row r="152" spans="1:7" x14ac:dyDescent="0.25">
      <c r="A152" t="s">
        <v>281</v>
      </c>
      <c r="B152" s="1">
        <v>46231.388032407405</v>
      </c>
      <c r="C152" t="s">
        <v>480</v>
      </c>
      <c r="D152" t="s">
        <v>481</v>
      </c>
      <c r="E152" t="s">
        <v>500</v>
      </c>
      <c r="F152" t="s">
        <v>307</v>
      </c>
      <c r="G152" t="s">
        <v>487</v>
      </c>
    </row>
    <row r="153" spans="1:7" x14ac:dyDescent="0.25">
      <c r="A153" t="s">
        <v>23</v>
      </c>
      <c r="B153" s="1">
        <v>46232.874201388891</v>
      </c>
      <c r="C153" t="s">
        <v>480</v>
      </c>
      <c r="D153" t="s">
        <v>481</v>
      </c>
      <c r="E153" t="s">
        <v>501</v>
      </c>
      <c r="F153" t="s">
        <v>302</v>
      </c>
      <c r="G153" t="s">
        <v>487</v>
      </c>
    </row>
    <row r="154" spans="1:7" x14ac:dyDescent="0.25">
      <c r="A154" t="s">
        <v>66</v>
      </c>
      <c r="B154" s="1">
        <v>46232.618090277778</v>
      </c>
      <c r="C154" t="s">
        <v>480</v>
      </c>
      <c r="D154" t="s">
        <v>481</v>
      </c>
      <c r="E154" t="s">
        <v>502</v>
      </c>
      <c r="F154" t="s">
        <v>302</v>
      </c>
      <c r="G154" t="s">
        <v>483</v>
      </c>
    </row>
    <row r="155" spans="1:7" x14ac:dyDescent="0.25">
      <c r="A155" t="s">
        <v>105</v>
      </c>
      <c r="B155" s="1">
        <v>46232.457152777781</v>
      </c>
      <c r="C155" t="s">
        <v>480</v>
      </c>
      <c r="D155" t="s">
        <v>481</v>
      </c>
      <c r="E155" t="s">
        <v>503</v>
      </c>
      <c r="F155" t="s">
        <v>307</v>
      </c>
      <c r="G155" t="s">
        <v>487</v>
      </c>
    </row>
    <row r="156" spans="1:7" x14ac:dyDescent="0.25">
      <c r="A156" t="s">
        <v>116</v>
      </c>
      <c r="B156" s="1">
        <v>46232.713530092595</v>
      </c>
      <c r="C156" t="s">
        <v>480</v>
      </c>
      <c r="D156" t="s">
        <v>481</v>
      </c>
      <c r="E156" t="s">
        <v>504</v>
      </c>
      <c r="F156" t="s">
        <v>307</v>
      </c>
      <c r="G156" t="s">
        <v>494</v>
      </c>
    </row>
    <row r="157" spans="1:7" x14ac:dyDescent="0.25">
      <c r="A157" t="s">
        <v>186</v>
      </c>
      <c r="B157" s="1">
        <v>46232.705717592595</v>
      </c>
      <c r="C157" t="s">
        <v>480</v>
      </c>
      <c r="D157" t="s">
        <v>481</v>
      </c>
      <c r="E157" t="s">
        <v>505</v>
      </c>
      <c r="F157" t="s">
        <v>311</v>
      </c>
      <c r="G157" t="s">
        <v>494</v>
      </c>
    </row>
    <row r="158" spans="1:7" x14ac:dyDescent="0.25">
      <c r="A158" t="s">
        <v>117</v>
      </c>
      <c r="B158" s="1">
        <v>46233.804386574076</v>
      </c>
      <c r="C158" t="s">
        <v>480</v>
      </c>
      <c r="D158" t="s">
        <v>481</v>
      </c>
      <c r="E158" t="s">
        <v>506</v>
      </c>
      <c r="F158" t="s">
        <v>305</v>
      </c>
      <c r="G158" t="s">
        <v>487</v>
      </c>
    </row>
    <row r="159" spans="1:7" x14ac:dyDescent="0.25">
      <c r="A159" t="s">
        <v>49</v>
      </c>
      <c r="B159" s="1">
        <v>46234.467326388891</v>
      </c>
      <c r="C159" t="s">
        <v>480</v>
      </c>
      <c r="D159" t="s">
        <v>481</v>
      </c>
      <c r="E159" t="s">
        <v>507</v>
      </c>
      <c r="F159" t="s">
        <v>311</v>
      </c>
      <c r="G159" t="s">
        <v>494</v>
      </c>
    </row>
    <row r="160" spans="1:7" x14ac:dyDescent="0.25">
      <c r="A160" t="s">
        <v>104</v>
      </c>
      <c r="B160" s="1">
        <v>46234.727430555555</v>
      </c>
      <c r="C160" t="s">
        <v>480</v>
      </c>
      <c r="D160" t="s">
        <v>481</v>
      </c>
      <c r="E160" t="s">
        <v>508</v>
      </c>
      <c r="F160" t="s">
        <v>302</v>
      </c>
      <c r="G160" t="s">
        <v>494</v>
      </c>
    </row>
    <row r="161" spans="1:7" x14ac:dyDescent="0.25">
      <c r="A161" t="s">
        <v>159</v>
      </c>
      <c r="B161" s="1">
        <v>46234.588692129626</v>
      </c>
      <c r="C161" t="s">
        <v>480</v>
      </c>
      <c r="D161" t="s">
        <v>481</v>
      </c>
      <c r="E161" t="s">
        <v>509</v>
      </c>
      <c r="F161" t="s">
        <v>302</v>
      </c>
      <c r="G161" t="s">
        <v>487</v>
      </c>
    </row>
    <row r="162" spans="1:7" x14ac:dyDescent="0.25">
      <c r="A162" t="s">
        <v>50</v>
      </c>
      <c r="B162" s="1">
        <v>46235.426874999997</v>
      </c>
      <c r="C162" t="s">
        <v>480</v>
      </c>
      <c r="D162" t="s">
        <v>481</v>
      </c>
      <c r="E162" t="s">
        <v>510</v>
      </c>
      <c r="F162" t="s">
        <v>311</v>
      </c>
      <c r="G162" t="s">
        <v>483</v>
      </c>
    </row>
    <row r="163" spans="1:7" x14ac:dyDescent="0.25">
      <c r="A163" t="s">
        <v>58</v>
      </c>
      <c r="B163" s="1">
        <v>46235.672731481478</v>
      </c>
      <c r="C163" t="s">
        <v>480</v>
      </c>
      <c r="D163" t="s">
        <v>481</v>
      </c>
      <c r="E163" t="s">
        <v>511</v>
      </c>
      <c r="F163" t="s">
        <v>302</v>
      </c>
      <c r="G163" t="s">
        <v>483</v>
      </c>
    </row>
    <row r="164" spans="1:7" x14ac:dyDescent="0.25">
      <c r="A164" t="s">
        <v>73</v>
      </c>
      <c r="B164" s="1">
        <v>46235.424097222225</v>
      </c>
      <c r="C164" t="s">
        <v>480</v>
      </c>
      <c r="D164" t="s">
        <v>481</v>
      </c>
      <c r="E164" t="s">
        <v>512</v>
      </c>
      <c r="F164" t="s">
        <v>302</v>
      </c>
      <c r="G164" t="s">
        <v>487</v>
      </c>
    </row>
    <row r="165" spans="1:7" x14ac:dyDescent="0.25">
      <c r="A165" t="s">
        <v>236</v>
      </c>
      <c r="B165" s="1">
        <v>46235.860127314816</v>
      </c>
      <c r="C165" t="s">
        <v>480</v>
      </c>
      <c r="D165" t="s">
        <v>481</v>
      </c>
      <c r="E165" t="s">
        <v>513</v>
      </c>
      <c r="F165" t="s">
        <v>307</v>
      </c>
      <c r="G165" t="s">
        <v>487</v>
      </c>
    </row>
    <row r="166" spans="1:7" x14ac:dyDescent="0.25">
      <c r="A166" t="s">
        <v>263</v>
      </c>
      <c r="B166" s="1">
        <v>46235.706678240742</v>
      </c>
      <c r="C166" t="s">
        <v>480</v>
      </c>
      <c r="D166" t="s">
        <v>481</v>
      </c>
      <c r="E166" t="s">
        <v>514</v>
      </c>
      <c r="F166" t="s">
        <v>305</v>
      </c>
      <c r="G166" t="s">
        <v>487</v>
      </c>
    </row>
    <row r="167" spans="1:7" x14ac:dyDescent="0.25">
      <c r="A167" t="s">
        <v>287</v>
      </c>
      <c r="B167" s="1">
        <v>46235.72278935185</v>
      </c>
      <c r="C167" t="s">
        <v>480</v>
      </c>
      <c r="D167" t="s">
        <v>481</v>
      </c>
      <c r="E167" t="s">
        <v>515</v>
      </c>
      <c r="F167" t="s">
        <v>305</v>
      </c>
      <c r="G167" t="s">
        <v>483</v>
      </c>
    </row>
    <row r="168" spans="1:7" x14ac:dyDescent="0.25">
      <c r="A168" t="s">
        <v>41</v>
      </c>
      <c r="B168" s="1">
        <v>46236.667743055557</v>
      </c>
      <c r="C168" t="s">
        <v>480</v>
      </c>
      <c r="D168" t="s">
        <v>481</v>
      </c>
      <c r="E168" t="s">
        <v>516</v>
      </c>
      <c r="F168" t="s">
        <v>307</v>
      </c>
      <c r="G168" t="s">
        <v>483</v>
      </c>
    </row>
    <row r="169" spans="1:7" x14ac:dyDescent="0.25">
      <c r="A169" t="s">
        <v>76</v>
      </c>
      <c r="B169" s="1">
        <v>46236.430983796294</v>
      </c>
      <c r="C169" t="s">
        <v>480</v>
      </c>
      <c r="D169" t="s">
        <v>481</v>
      </c>
      <c r="E169" t="s">
        <v>517</v>
      </c>
      <c r="F169" t="s">
        <v>307</v>
      </c>
      <c r="G169" t="s">
        <v>485</v>
      </c>
    </row>
    <row r="170" spans="1:7" x14ac:dyDescent="0.25">
      <c r="A170" t="s">
        <v>128</v>
      </c>
      <c r="B170" s="1">
        <v>46236.452569444446</v>
      </c>
      <c r="C170" t="s">
        <v>480</v>
      </c>
      <c r="D170" t="s">
        <v>481</v>
      </c>
      <c r="E170" t="s">
        <v>518</v>
      </c>
      <c r="F170" t="s">
        <v>302</v>
      </c>
      <c r="G170" t="s">
        <v>494</v>
      </c>
    </row>
    <row r="171" spans="1:7" x14ac:dyDescent="0.25">
      <c r="A171" t="s">
        <v>157</v>
      </c>
      <c r="B171" s="1">
        <v>46236.470891203702</v>
      </c>
      <c r="C171" t="s">
        <v>480</v>
      </c>
      <c r="D171" t="s">
        <v>481</v>
      </c>
      <c r="E171" t="s">
        <v>519</v>
      </c>
      <c r="F171" t="s">
        <v>307</v>
      </c>
      <c r="G171" t="s">
        <v>494</v>
      </c>
    </row>
    <row r="172" spans="1:7" x14ac:dyDescent="0.25">
      <c r="A172" t="s">
        <v>205</v>
      </c>
      <c r="B172" s="1">
        <v>46236.720509259256</v>
      </c>
      <c r="C172" t="s">
        <v>480</v>
      </c>
      <c r="D172" t="s">
        <v>481</v>
      </c>
      <c r="E172" t="s">
        <v>520</v>
      </c>
      <c r="F172" t="s">
        <v>311</v>
      </c>
      <c r="G172" t="s">
        <v>483</v>
      </c>
    </row>
    <row r="173" spans="1:7" x14ac:dyDescent="0.25">
      <c r="A173" t="s">
        <v>44</v>
      </c>
      <c r="B173" s="1">
        <v>46237.498900462961</v>
      </c>
      <c r="C173" t="s">
        <v>480</v>
      </c>
      <c r="D173" t="s">
        <v>481</v>
      </c>
      <c r="E173" t="s">
        <v>521</v>
      </c>
      <c r="F173" t="s">
        <v>307</v>
      </c>
      <c r="G173" t="s">
        <v>485</v>
      </c>
    </row>
    <row r="174" spans="1:7" x14ac:dyDescent="0.25">
      <c r="A174" t="s">
        <v>143</v>
      </c>
      <c r="B174" s="1">
        <v>46237.549247685187</v>
      </c>
      <c r="C174" t="s">
        <v>480</v>
      </c>
      <c r="D174" t="s">
        <v>481</v>
      </c>
      <c r="E174" t="s">
        <v>522</v>
      </c>
      <c r="F174" t="s">
        <v>302</v>
      </c>
      <c r="G174" t="s">
        <v>485</v>
      </c>
    </row>
    <row r="175" spans="1:7" x14ac:dyDescent="0.25">
      <c r="A175" t="s">
        <v>189</v>
      </c>
      <c r="B175" s="1">
        <v>46237.851481481484</v>
      </c>
      <c r="C175" t="s">
        <v>480</v>
      </c>
      <c r="D175" t="s">
        <v>481</v>
      </c>
      <c r="E175" t="s">
        <v>523</v>
      </c>
      <c r="F175" t="s">
        <v>307</v>
      </c>
      <c r="G175" t="s">
        <v>485</v>
      </c>
    </row>
    <row r="176" spans="1:7" x14ac:dyDescent="0.25">
      <c r="A176" t="s">
        <v>254</v>
      </c>
      <c r="B176" s="1">
        <v>46237.772662037038</v>
      </c>
      <c r="C176" t="s">
        <v>480</v>
      </c>
      <c r="D176" t="s">
        <v>481</v>
      </c>
      <c r="E176" t="s">
        <v>524</v>
      </c>
      <c r="F176" t="s">
        <v>302</v>
      </c>
      <c r="G176" t="s">
        <v>485</v>
      </c>
    </row>
    <row r="177" spans="1:7" x14ac:dyDescent="0.25">
      <c r="A177" t="s">
        <v>525</v>
      </c>
      <c r="B177" s="1">
        <v>46238.399131944447</v>
      </c>
      <c r="C177" t="s">
        <v>480</v>
      </c>
      <c r="D177" t="s">
        <v>481</v>
      </c>
      <c r="E177" t="s">
        <v>526</v>
      </c>
      <c r="F177" t="s">
        <v>307</v>
      </c>
      <c r="G177" t="s">
        <v>487</v>
      </c>
    </row>
    <row r="178" spans="1:7" x14ac:dyDescent="0.25">
      <c r="A178" t="s">
        <v>527</v>
      </c>
      <c r="B178" s="1">
        <v>46238.802060185182</v>
      </c>
      <c r="C178" t="s">
        <v>480</v>
      </c>
      <c r="D178" t="s">
        <v>481</v>
      </c>
      <c r="E178" t="s">
        <v>528</v>
      </c>
      <c r="F178" t="s">
        <v>302</v>
      </c>
      <c r="G178" t="s">
        <v>485</v>
      </c>
    </row>
    <row r="179" spans="1:7" x14ac:dyDescent="0.25">
      <c r="A179" t="s">
        <v>529</v>
      </c>
      <c r="B179" s="1">
        <v>46238.816921296297</v>
      </c>
      <c r="C179" t="s">
        <v>480</v>
      </c>
      <c r="D179" t="s">
        <v>481</v>
      </c>
      <c r="E179" t="s">
        <v>530</v>
      </c>
      <c r="F179" t="s">
        <v>307</v>
      </c>
      <c r="G179" t="s">
        <v>494</v>
      </c>
    </row>
    <row r="180" spans="1:7" x14ac:dyDescent="0.25">
      <c r="A180" t="s">
        <v>531</v>
      </c>
      <c r="B180" s="1">
        <v>46239.843854166669</v>
      </c>
      <c r="C180" t="s">
        <v>480</v>
      </c>
      <c r="D180" t="s">
        <v>481</v>
      </c>
      <c r="E180" t="s">
        <v>532</v>
      </c>
      <c r="F180" t="s">
        <v>302</v>
      </c>
      <c r="G180" t="s">
        <v>494</v>
      </c>
    </row>
    <row r="181" spans="1:7" x14ac:dyDescent="0.25">
      <c r="A181" t="s">
        <v>533</v>
      </c>
      <c r="B181" s="1">
        <v>46239.539687500001</v>
      </c>
      <c r="C181" t="s">
        <v>480</v>
      </c>
      <c r="D181" t="s">
        <v>481</v>
      </c>
      <c r="E181" t="s">
        <v>534</v>
      </c>
      <c r="F181" t="s">
        <v>302</v>
      </c>
      <c r="G181" t="s">
        <v>483</v>
      </c>
    </row>
    <row r="182" spans="1:7" x14ac:dyDescent="0.25">
      <c r="A182" t="s">
        <v>535</v>
      </c>
      <c r="B182" s="1">
        <v>46239.591516203705</v>
      </c>
      <c r="C182" t="s">
        <v>480</v>
      </c>
      <c r="D182" t="s">
        <v>481</v>
      </c>
      <c r="E182" t="s">
        <v>536</v>
      </c>
      <c r="F182" t="s">
        <v>311</v>
      </c>
      <c r="G182" t="s">
        <v>485</v>
      </c>
    </row>
    <row r="183" spans="1:7" x14ac:dyDescent="0.25">
      <c r="A183" t="s">
        <v>537</v>
      </c>
      <c r="B183" s="1">
        <v>46239.601724537039</v>
      </c>
      <c r="C183" t="s">
        <v>480</v>
      </c>
      <c r="D183" t="s">
        <v>481</v>
      </c>
      <c r="E183" t="s">
        <v>538</v>
      </c>
      <c r="F183" t="s">
        <v>307</v>
      </c>
      <c r="G183" t="s">
        <v>494</v>
      </c>
    </row>
    <row r="184" spans="1:7" x14ac:dyDescent="0.25">
      <c r="A184" t="s">
        <v>539</v>
      </c>
      <c r="B184" s="1">
        <v>46239.774513888886</v>
      </c>
      <c r="C184" t="s">
        <v>480</v>
      </c>
      <c r="D184" t="s">
        <v>481</v>
      </c>
      <c r="E184" t="s">
        <v>540</v>
      </c>
      <c r="F184" t="s">
        <v>311</v>
      </c>
      <c r="G184" t="s">
        <v>485</v>
      </c>
    </row>
    <row r="185" spans="1:7" x14ac:dyDescent="0.25">
      <c r="A185" t="s">
        <v>541</v>
      </c>
      <c r="B185" s="1">
        <v>46239.658101851855</v>
      </c>
      <c r="C185" t="s">
        <v>480</v>
      </c>
      <c r="D185" t="s">
        <v>481</v>
      </c>
      <c r="E185" t="s">
        <v>542</v>
      </c>
      <c r="F185" t="s">
        <v>302</v>
      </c>
      <c r="G185" t="s">
        <v>494</v>
      </c>
    </row>
    <row r="186" spans="1:7" x14ac:dyDescent="0.25">
      <c r="A186" t="s">
        <v>543</v>
      </c>
      <c r="B186" s="1">
        <v>46239.516909722224</v>
      </c>
      <c r="C186" t="s">
        <v>480</v>
      </c>
      <c r="D186" t="s">
        <v>481</v>
      </c>
      <c r="E186" t="s">
        <v>544</v>
      </c>
      <c r="F186" t="s">
        <v>305</v>
      </c>
      <c r="G186" t="s">
        <v>487</v>
      </c>
    </row>
    <row r="187" spans="1:7" x14ac:dyDescent="0.25">
      <c r="A187" t="s">
        <v>545</v>
      </c>
      <c r="B187" s="1">
        <v>46239.626793981479</v>
      </c>
      <c r="C187" t="s">
        <v>480</v>
      </c>
      <c r="D187" t="s">
        <v>481</v>
      </c>
      <c r="E187" t="s">
        <v>546</v>
      </c>
      <c r="F187" t="s">
        <v>305</v>
      </c>
      <c r="G187" t="s">
        <v>485</v>
      </c>
    </row>
    <row r="188" spans="1:7" x14ac:dyDescent="0.25">
      <c r="A188" t="s">
        <v>547</v>
      </c>
      <c r="B188" s="1">
        <v>46239.450509259259</v>
      </c>
      <c r="C188" t="s">
        <v>480</v>
      </c>
      <c r="D188" t="s">
        <v>481</v>
      </c>
      <c r="E188" t="s">
        <v>548</v>
      </c>
      <c r="F188" t="s">
        <v>302</v>
      </c>
      <c r="G188" t="s">
        <v>483</v>
      </c>
    </row>
    <row r="189" spans="1:7" x14ac:dyDescent="0.25">
      <c r="A189" t="s">
        <v>549</v>
      </c>
      <c r="B189" s="1">
        <v>46239.379675925928</v>
      </c>
      <c r="C189" t="s">
        <v>480</v>
      </c>
      <c r="D189" t="s">
        <v>481</v>
      </c>
      <c r="E189" t="s">
        <v>550</v>
      </c>
      <c r="F189" t="s">
        <v>302</v>
      </c>
      <c r="G189" t="s">
        <v>483</v>
      </c>
    </row>
    <row r="190" spans="1:7" x14ac:dyDescent="0.25">
      <c r="A190" t="s">
        <v>551</v>
      </c>
      <c r="B190" s="1">
        <v>46239.521620370368</v>
      </c>
      <c r="C190" t="s">
        <v>480</v>
      </c>
      <c r="D190" t="s">
        <v>481</v>
      </c>
      <c r="E190" t="s">
        <v>552</v>
      </c>
      <c r="F190" t="s">
        <v>302</v>
      </c>
      <c r="G190" t="s">
        <v>487</v>
      </c>
    </row>
    <row r="191" spans="1:7" x14ac:dyDescent="0.25">
      <c r="A191" t="s">
        <v>553</v>
      </c>
      <c r="B191" s="1">
        <v>46240.58489583333</v>
      </c>
      <c r="C191" t="s">
        <v>480</v>
      </c>
      <c r="D191" t="s">
        <v>481</v>
      </c>
      <c r="E191" t="s">
        <v>554</v>
      </c>
      <c r="F191" t="s">
        <v>311</v>
      </c>
      <c r="G191" t="s">
        <v>494</v>
      </c>
    </row>
    <row r="192" spans="1:7" x14ac:dyDescent="0.25">
      <c r="A192" t="s">
        <v>555</v>
      </c>
      <c r="B192" s="1">
        <v>46240.574293981481</v>
      </c>
      <c r="C192" t="s">
        <v>480</v>
      </c>
      <c r="D192" t="s">
        <v>481</v>
      </c>
      <c r="E192" t="s">
        <v>556</v>
      </c>
      <c r="F192" t="s">
        <v>307</v>
      </c>
      <c r="G192" t="s">
        <v>485</v>
      </c>
    </row>
    <row r="193" spans="1:7" x14ac:dyDescent="0.25">
      <c r="A193" t="s">
        <v>557</v>
      </c>
      <c r="B193" s="1">
        <v>46240.435428240744</v>
      </c>
      <c r="C193" t="s">
        <v>480</v>
      </c>
      <c r="D193" t="s">
        <v>481</v>
      </c>
      <c r="E193" t="s">
        <v>558</v>
      </c>
      <c r="F193" t="s">
        <v>305</v>
      </c>
      <c r="G193" t="s">
        <v>494</v>
      </c>
    </row>
    <row r="194" spans="1:7" x14ac:dyDescent="0.25">
      <c r="A194" t="s">
        <v>559</v>
      </c>
      <c r="B194" s="1">
        <v>46240.564722222225</v>
      </c>
      <c r="C194" t="s">
        <v>480</v>
      </c>
      <c r="D194" t="s">
        <v>481</v>
      </c>
      <c r="E194" t="s">
        <v>560</v>
      </c>
      <c r="F194" t="s">
        <v>307</v>
      </c>
      <c r="G194" t="s">
        <v>483</v>
      </c>
    </row>
    <row r="195" spans="1:7" x14ac:dyDescent="0.25">
      <c r="A195" t="s">
        <v>561</v>
      </c>
      <c r="B195" s="1">
        <v>46240.709826388891</v>
      </c>
      <c r="C195" t="s">
        <v>480</v>
      </c>
      <c r="D195" t="s">
        <v>481</v>
      </c>
      <c r="E195" t="s">
        <v>562</v>
      </c>
      <c r="F195" t="s">
        <v>305</v>
      </c>
      <c r="G195" t="s">
        <v>485</v>
      </c>
    </row>
    <row r="196" spans="1:7" x14ac:dyDescent="0.25">
      <c r="A196" t="s">
        <v>563</v>
      </c>
      <c r="B196" s="1">
        <v>46240.710798611108</v>
      </c>
      <c r="C196" t="s">
        <v>480</v>
      </c>
      <c r="D196" t="s">
        <v>481</v>
      </c>
      <c r="E196" t="s">
        <v>564</v>
      </c>
      <c r="F196" t="s">
        <v>311</v>
      </c>
      <c r="G196" t="s">
        <v>494</v>
      </c>
    </row>
    <row r="197" spans="1:7" x14ac:dyDescent="0.25">
      <c r="A197" t="s">
        <v>565</v>
      </c>
      <c r="B197" s="1">
        <v>46240.456550925926</v>
      </c>
      <c r="C197" t="s">
        <v>480</v>
      </c>
      <c r="D197" t="s">
        <v>481</v>
      </c>
      <c r="E197" t="s">
        <v>566</v>
      </c>
      <c r="F197" t="s">
        <v>305</v>
      </c>
      <c r="G197" t="s">
        <v>494</v>
      </c>
    </row>
    <row r="198" spans="1:7" x14ac:dyDescent="0.25">
      <c r="A198" t="s">
        <v>567</v>
      </c>
      <c r="B198" s="1">
        <v>46241.477314814816</v>
      </c>
      <c r="C198" t="s">
        <v>480</v>
      </c>
      <c r="D198" t="s">
        <v>481</v>
      </c>
      <c r="E198" t="s">
        <v>568</v>
      </c>
      <c r="F198" t="s">
        <v>311</v>
      </c>
      <c r="G198" t="s">
        <v>483</v>
      </c>
    </row>
    <row r="199" spans="1:7" x14ac:dyDescent="0.25">
      <c r="A199" t="s">
        <v>569</v>
      </c>
      <c r="B199" s="1">
        <v>46241.590798611112</v>
      </c>
      <c r="C199" t="s">
        <v>480</v>
      </c>
      <c r="D199" t="s">
        <v>481</v>
      </c>
      <c r="E199" t="s">
        <v>570</v>
      </c>
      <c r="F199" t="s">
        <v>307</v>
      </c>
      <c r="G199" t="s">
        <v>487</v>
      </c>
    </row>
    <row r="200" spans="1:7" x14ac:dyDescent="0.25">
      <c r="A200" t="s">
        <v>571</v>
      </c>
      <c r="B200" s="1">
        <v>46241.624444444446</v>
      </c>
      <c r="C200" t="s">
        <v>480</v>
      </c>
      <c r="D200" t="s">
        <v>481</v>
      </c>
      <c r="E200" t="s">
        <v>572</v>
      </c>
      <c r="F200" t="s">
        <v>311</v>
      </c>
      <c r="G200" t="s">
        <v>487</v>
      </c>
    </row>
    <row r="201" spans="1:7" x14ac:dyDescent="0.25">
      <c r="A201" t="s">
        <v>573</v>
      </c>
      <c r="B201" s="1">
        <v>46241.520254629628</v>
      </c>
      <c r="C201" t="s">
        <v>480</v>
      </c>
      <c r="D201" t="s">
        <v>481</v>
      </c>
      <c r="E201" t="s">
        <v>574</v>
      </c>
      <c r="F201" t="s">
        <v>302</v>
      </c>
      <c r="G201" t="s">
        <v>483</v>
      </c>
    </row>
    <row r="202" spans="1:7" x14ac:dyDescent="0.25">
      <c r="A202" t="s">
        <v>575</v>
      </c>
      <c r="B202" s="1">
        <v>46241.447187500002</v>
      </c>
      <c r="C202" t="s">
        <v>480</v>
      </c>
      <c r="D202" t="s">
        <v>481</v>
      </c>
      <c r="E202" t="s">
        <v>576</v>
      </c>
      <c r="F202" t="s">
        <v>305</v>
      </c>
      <c r="G202" t="s">
        <v>485</v>
      </c>
    </row>
    <row r="203" spans="1:7" x14ac:dyDescent="0.25">
      <c r="A203" t="s">
        <v>577</v>
      </c>
      <c r="B203" s="1">
        <v>46241.496932870374</v>
      </c>
      <c r="C203" t="s">
        <v>480</v>
      </c>
      <c r="D203" t="s">
        <v>481</v>
      </c>
      <c r="E203" t="s">
        <v>578</v>
      </c>
      <c r="F203" t="s">
        <v>311</v>
      </c>
      <c r="G203" t="s">
        <v>487</v>
      </c>
    </row>
    <row r="204" spans="1:7" x14ac:dyDescent="0.25">
      <c r="A204" t="s">
        <v>579</v>
      </c>
      <c r="B204" s="1">
        <v>46241.745949074073</v>
      </c>
      <c r="C204" t="s">
        <v>480</v>
      </c>
      <c r="D204" t="s">
        <v>481</v>
      </c>
      <c r="E204" t="s">
        <v>580</v>
      </c>
      <c r="F204" t="s">
        <v>302</v>
      </c>
      <c r="G204" t="s">
        <v>494</v>
      </c>
    </row>
    <row r="205" spans="1:7" x14ac:dyDescent="0.25">
      <c r="A205" t="s">
        <v>144</v>
      </c>
      <c r="B205" s="1">
        <v>46230.476747685185</v>
      </c>
      <c r="C205" t="s">
        <v>480</v>
      </c>
      <c r="D205" t="s">
        <v>581</v>
      </c>
      <c r="E205" t="s">
        <v>582</v>
      </c>
      <c r="F205" t="s">
        <v>307</v>
      </c>
      <c r="G205" t="s">
        <v>494</v>
      </c>
    </row>
    <row r="206" spans="1:7" x14ac:dyDescent="0.25">
      <c r="A206" t="s">
        <v>22</v>
      </c>
      <c r="B206" s="1">
        <v>46231.380509259259</v>
      </c>
      <c r="C206" t="s">
        <v>480</v>
      </c>
      <c r="D206" t="s">
        <v>581</v>
      </c>
      <c r="E206" t="s">
        <v>583</v>
      </c>
      <c r="F206" t="s">
        <v>307</v>
      </c>
      <c r="G206" t="s">
        <v>483</v>
      </c>
    </row>
    <row r="207" spans="1:7" x14ac:dyDescent="0.25">
      <c r="A207" t="s">
        <v>59</v>
      </c>
      <c r="B207" s="1">
        <v>46231.775219907409</v>
      </c>
      <c r="C207" t="s">
        <v>480</v>
      </c>
      <c r="D207" t="s">
        <v>581</v>
      </c>
      <c r="E207" t="s">
        <v>584</v>
      </c>
      <c r="F207" t="s">
        <v>311</v>
      </c>
      <c r="G207" t="s">
        <v>483</v>
      </c>
    </row>
    <row r="208" spans="1:7" x14ac:dyDescent="0.25">
      <c r="A208" t="s">
        <v>103</v>
      </c>
      <c r="B208" s="1">
        <v>46231.512048611112</v>
      </c>
      <c r="C208" t="s">
        <v>480</v>
      </c>
      <c r="D208" t="s">
        <v>581</v>
      </c>
      <c r="E208" t="s">
        <v>585</v>
      </c>
      <c r="F208" t="s">
        <v>307</v>
      </c>
      <c r="G208" t="s">
        <v>487</v>
      </c>
    </row>
    <row r="209" spans="1:7" x14ac:dyDescent="0.25">
      <c r="A209" t="s">
        <v>234</v>
      </c>
      <c r="B209" s="1">
        <v>46231.494166666664</v>
      </c>
      <c r="C209" t="s">
        <v>480</v>
      </c>
      <c r="D209" t="s">
        <v>581</v>
      </c>
      <c r="E209" t="s">
        <v>586</v>
      </c>
      <c r="F209" t="s">
        <v>302</v>
      </c>
      <c r="G209" t="s">
        <v>487</v>
      </c>
    </row>
    <row r="210" spans="1:7" x14ac:dyDescent="0.25">
      <c r="A210" t="s">
        <v>278</v>
      </c>
      <c r="B210" s="1">
        <v>46231.662152777775</v>
      </c>
      <c r="C210" t="s">
        <v>480</v>
      </c>
      <c r="D210" t="s">
        <v>581</v>
      </c>
      <c r="E210" t="s">
        <v>587</v>
      </c>
      <c r="F210" t="s">
        <v>307</v>
      </c>
      <c r="G210" t="s">
        <v>494</v>
      </c>
    </row>
    <row r="211" spans="1:7" x14ac:dyDescent="0.25">
      <c r="A211" t="s">
        <v>81</v>
      </c>
      <c r="B211" s="1">
        <v>46232.803113425929</v>
      </c>
      <c r="C211" t="s">
        <v>480</v>
      </c>
      <c r="D211" t="s">
        <v>581</v>
      </c>
      <c r="E211" t="s">
        <v>417</v>
      </c>
      <c r="F211" t="s">
        <v>307</v>
      </c>
      <c r="G211" t="s">
        <v>494</v>
      </c>
    </row>
    <row r="212" spans="1:7" x14ac:dyDescent="0.25">
      <c r="A212" t="s">
        <v>89</v>
      </c>
      <c r="B212" s="1">
        <v>46232.517291666663</v>
      </c>
      <c r="C212" t="s">
        <v>480</v>
      </c>
      <c r="D212" t="s">
        <v>581</v>
      </c>
      <c r="E212" t="s">
        <v>588</v>
      </c>
      <c r="F212" t="s">
        <v>305</v>
      </c>
      <c r="G212" t="s">
        <v>487</v>
      </c>
    </row>
    <row r="213" spans="1:7" x14ac:dyDescent="0.25">
      <c r="A213" t="s">
        <v>99</v>
      </c>
      <c r="B213" s="1">
        <v>46232.800451388888</v>
      </c>
      <c r="C213" t="s">
        <v>480</v>
      </c>
      <c r="D213" t="s">
        <v>581</v>
      </c>
      <c r="E213" t="s">
        <v>589</v>
      </c>
      <c r="F213" t="s">
        <v>305</v>
      </c>
      <c r="G213" t="s">
        <v>485</v>
      </c>
    </row>
    <row r="214" spans="1:7" x14ac:dyDescent="0.25">
      <c r="A214" t="s">
        <v>224</v>
      </c>
      <c r="B214" s="1">
        <v>46232.643391203703</v>
      </c>
      <c r="C214" t="s">
        <v>480</v>
      </c>
      <c r="D214" t="s">
        <v>581</v>
      </c>
      <c r="E214" t="s">
        <v>590</v>
      </c>
      <c r="F214" t="s">
        <v>302</v>
      </c>
      <c r="G214" t="s">
        <v>483</v>
      </c>
    </row>
    <row r="215" spans="1:7" x14ac:dyDescent="0.25">
      <c r="A215" t="s">
        <v>279</v>
      </c>
      <c r="B215" s="1">
        <v>46232.714618055557</v>
      </c>
      <c r="C215" t="s">
        <v>480</v>
      </c>
      <c r="D215" t="s">
        <v>581</v>
      </c>
      <c r="E215" t="s">
        <v>591</v>
      </c>
      <c r="F215" t="s">
        <v>302</v>
      </c>
      <c r="G215" t="s">
        <v>483</v>
      </c>
    </row>
    <row r="216" spans="1:7" x14ac:dyDescent="0.25">
      <c r="A216" t="s">
        <v>35</v>
      </c>
      <c r="B216" s="1">
        <v>46233.516724537039</v>
      </c>
      <c r="C216" t="s">
        <v>480</v>
      </c>
      <c r="D216" t="s">
        <v>581</v>
      </c>
      <c r="E216" t="s">
        <v>592</v>
      </c>
      <c r="F216" t="s">
        <v>302</v>
      </c>
      <c r="G216" t="s">
        <v>485</v>
      </c>
    </row>
    <row r="217" spans="1:7" x14ac:dyDescent="0.25">
      <c r="A217" t="s">
        <v>74</v>
      </c>
      <c r="B217" s="1">
        <v>46233.574317129627</v>
      </c>
      <c r="C217" t="s">
        <v>480</v>
      </c>
      <c r="D217" t="s">
        <v>581</v>
      </c>
      <c r="E217" t="s">
        <v>593</v>
      </c>
      <c r="F217" t="s">
        <v>307</v>
      </c>
      <c r="G217" t="s">
        <v>483</v>
      </c>
    </row>
    <row r="218" spans="1:7" x14ac:dyDescent="0.25">
      <c r="A218" t="s">
        <v>233</v>
      </c>
      <c r="B218" s="1">
        <v>46233.509456018517</v>
      </c>
      <c r="C218" t="s">
        <v>480</v>
      </c>
      <c r="D218" t="s">
        <v>581</v>
      </c>
      <c r="E218" t="s">
        <v>594</v>
      </c>
      <c r="F218" t="s">
        <v>307</v>
      </c>
      <c r="G218" t="s">
        <v>485</v>
      </c>
    </row>
    <row r="219" spans="1:7" x14ac:dyDescent="0.25">
      <c r="A219" t="s">
        <v>239</v>
      </c>
      <c r="B219" s="1">
        <v>46233.64099537037</v>
      </c>
      <c r="C219" t="s">
        <v>480</v>
      </c>
      <c r="D219" t="s">
        <v>581</v>
      </c>
      <c r="E219" t="s">
        <v>595</v>
      </c>
      <c r="F219" t="s">
        <v>307</v>
      </c>
      <c r="G219" t="s">
        <v>487</v>
      </c>
    </row>
    <row r="220" spans="1:7" x14ac:dyDescent="0.25">
      <c r="A220" t="s">
        <v>258</v>
      </c>
      <c r="B220" s="1">
        <v>46233.858553240738</v>
      </c>
      <c r="C220" t="s">
        <v>480</v>
      </c>
      <c r="D220" t="s">
        <v>581</v>
      </c>
      <c r="E220" t="s">
        <v>596</v>
      </c>
      <c r="F220" t="s">
        <v>302</v>
      </c>
      <c r="G220" t="s">
        <v>483</v>
      </c>
    </row>
    <row r="221" spans="1:7" x14ac:dyDescent="0.25">
      <c r="A221" t="s">
        <v>91</v>
      </c>
      <c r="B221" s="1">
        <v>46234.874374999999</v>
      </c>
      <c r="C221" t="s">
        <v>480</v>
      </c>
      <c r="D221" t="s">
        <v>581</v>
      </c>
      <c r="E221" t="s">
        <v>597</v>
      </c>
      <c r="F221" t="s">
        <v>311</v>
      </c>
      <c r="G221" t="s">
        <v>494</v>
      </c>
    </row>
    <row r="222" spans="1:7" x14ac:dyDescent="0.25">
      <c r="A222" t="s">
        <v>141</v>
      </c>
      <c r="B222" s="1">
        <v>46234.415601851855</v>
      </c>
      <c r="C222" t="s">
        <v>480</v>
      </c>
      <c r="D222" t="s">
        <v>581</v>
      </c>
      <c r="E222" t="s">
        <v>598</v>
      </c>
      <c r="F222" t="s">
        <v>302</v>
      </c>
      <c r="G222" t="s">
        <v>487</v>
      </c>
    </row>
    <row r="223" spans="1:7" x14ac:dyDescent="0.25">
      <c r="A223" t="s">
        <v>204</v>
      </c>
      <c r="B223" s="1">
        <v>46234.584560185183</v>
      </c>
      <c r="C223" t="s">
        <v>480</v>
      </c>
      <c r="D223" t="s">
        <v>581</v>
      </c>
      <c r="E223" t="s">
        <v>599</v>
      </c>
      <c r="F223" t="s">
        <v>305</v>
      </c>
      <c r="G223" t="s">
        <v>487</v>
      </c>
    </row>
    <row r="224" spans="1:7" x14ac:dyDescent="0.25">
      <c r="A224" t="s">
        <v>260</v>
      </c>
      <c r="B224" s="1">
        <v>46234.535046296296</v>
      </c>
      <c r="C224" t="s">
        <v>480</v>
      </c>
      <c r="D224" t="s">
        <v>581</v>
      </c>
      <c r="E224" t="s">
        <v>600</v>
      </c>
      <c r="F224" t="s">
        <v>311</v>
      </c>
      <c r="G224" t="s">
        <v>494</v>
      </c>
    </row>
    <row r="225" spans="1:7" x14ac:dyDescent="0.25">
      <c r="A225" t="s">
        <v>56</v>
      </c>
      <c r="B225" s="1">
        <v>46235.635324074072</v>
      </c>
      <c r="C225" t="s">
        <v>480</v>
      </c>
      <c r="D225" t="s">
        <v>581</v>
      </c>
      <c r="E225" t="s">
        <v>601</v>
      </c>
      <c r="F225" t="s">
        <v>307</v>
      </c>
      <c r="G225" t="s">
        <v>483</v>
      </c>
    </row>
    <row r="226" spans="1:7" x14ac:dyDescent="0.25">
      <c r="A226" t="s">
        <v>61</v>
      </c>
      <c r="B226" s="1">
        <v>46235.529282407406</v>
      </c>
      <c r="C226" t="s">
        <v>480</v>
      </c>
      <c r="D226" t="s">
        <v>581</v>
      </c>
      <c r="E226" t="s">
        <v>602</v>
      </c>
      <c r="F226" t="s">
        <v>305</v>
      </c>
      <c r="G226" t="s">
        <v>485</v>
      </c>
    </row>
    <row r="227" spans="1:7" x14ac:dyDescent="0.25">
      <c r="A227" t="s">
        <v>149</v>
      </c>
      <c r="B227" s="1">
        <v>46235.851122685184</v>
      </c>
      <c r="C227" t="s">
        <v>480</v>
      </c>
      <c r="D227" t="s">
        <v>581</v>
      </c>
      <c r="E227" t="s">
        <v>603</v>
      </c>
      <c r="F227" t="s">
        <v>311</v>
      </c>
      <c r="G227" t="s">
        <v>483</v>
      </c>
    </row>
    <row r="228" spans="1:7" x14ac:dyDescent="0.25">
      <c r="A228" t="s">
        <v>92</v>
      </c>
      <c r="B228" s="1">
        <v>46236.611273148148</v>
      </c>
      <c r="C228" t="s">
        <v>480</v>
      </c>
      <c r="D228" t="s">
        <v>581</v>
      </c>
      <c r="E228" t="s">
        <v>604</v>
      </c>
      <c r="F228" t="s">
        <v>307</v>
      </c>
      <c r="G228" t="s">
        <v>487</v>
      </c>
    </row>
    <row r="229" spans="1:7" x14ac:dyDescent="0.25">
      <c r="A229" t="s">
        <v>151</v>
      </c>
      <c r="B229" s="1">
        <v>46236.633321759262</v>
      </c>
      <c r="C229" t="s">
        <v>480</v>
      </c>
      <c r="D229" t="s">
        <v>581</v>
      </c>
      <c r="E229" t="s">
        <v>605</v>
      </c>
      <c r="F229" t="s">
        <v>311</v>
      </c>
      <c r="G229" t="s">
        <v>485</v>
      </c>
    </row>
    <row r="230" spans="1:7" x14ac:dyDescent="0.25">
      <c r="A230" t="s">
        <v>185</v>
      </c>
      <c r="B230" s="1">
        <v>46236.802210648151</v>
      </c>
      <c r="C230" t="s">
        <v>480</v>
      </c>
      <c r="D230" t="s">
        <v>581</v>
      </c>
      <c r="E230" t="s">
        <v>606</v>
      </c>
      <c r="F230" t="s">
        <v>311</v>
      </c>
      <c r="G230" t="s">
        <v>494</v>
      </c>
    </row>
    <row r="231" spans="1:7" x14ac:dyDescent="0.25">
      <c r="A231" t="s">
        <v>217</v>
      </c>
      <c r="B231" s="1">
        <v>46236.576805555553</v>
      </c>
      <c r="C231" t="s">
        <v>480</v>
      </c>
      <c r="D231" t="s">
        <v>581</v>
      </c>
      <c r="E231" t="s">
        <v>607</v>
      </c>
      <c r="F231" t="s">
        <v>305</v>
      </c>
      <c r="G231" t="s">
        <v>487</v>
      </c>
    </row>
    <row r="232" spans="1:7" x14ac:dyDescent="0.25">
      <c r="A232" t="s">
        <v>88</v>
      </c>
      <c r="B232" s="1">
        <v>46237.578726851854</v>
      </c>
      <c r="C232" t="s">
        <v>480</v>
      </c>
      <c r="D232" t="s">
        <v>581</v>
      </c>
      <c r="E232" t="s">
        <v>608</v>
      </c>
      <c r="F232" t="s">
        <v>311</v>
      </c>
      <c r="G232" t="s">
        <v>485</v>
      </c>
    </row>
    <row r="233" spans="1:7" x14ac:dyDescent="0.25">
      <c r="A233" t="s">
        <v>100</v>
      </c>
      <c r="B233" s="1">
        <v>46237.581689814811</v>
      </c>
      <c r="C233" t="s">
        <v>480</v>
      </c>
      <c r="D233" t="s">
        <v>581</v>
      </c>
      <c r="E233" t="s">
        <v>609</v>
      </c>
      <c r="F233" t="s">
        <v>311</v>
      </c>
      <c r="G233" t="s">
        <v>494</v>
      </c>
    </row>
    <row r="234" spans="1:7" x14ac:dyDescent="0.25">
      <c r="A234" t="s">
        <v>107</v>
      </c>
      <c r="B234" s="1">
        <v>46237.387060185189</v>
      </c>
      <c r="C234" t="s">
        <v>480</v>
      </c>
      <c r="D234" t="s">
        <v>581</v>
      </c>
      <c r="E234" t="s">
        <v>610</v>
      </c>
      <c r="F234" t="s">
        <v>305</v>
      </c>
      <c r="G234" t="s">
        <v>487</v>
      </c>
    </row>
    <row r="235" spans="1:7" x14ac:dyDescent="0.25">
      <c r="A235" t="s">
        <v>178</v>
      </c>
      <c r="B235" s="1">
        <v>46237.783888888887</v>
      </c>
      <c r="C235" t="s">
        <v>480</v>
      </c>
      <c r="D235" t="s">
        <v>581</v>
      </c>
      <c r="E235" t="s">
        <v>611</v>
      </c>
      <c r="F235" t="s">
        <v>302</v>
      </c>
      <c r="G235" t="s">
        <v>487</v>
      </c>
    </row>
    <row r="236" spans="1:7" x14ac:dyDescent="0.25">
      <c r="A236" t="s">
        <v>268</v>
      </c>
      <c r="B236" s="1">
        <v>46237.845752314817</v>
      </c>
      <c r="C236" t="s">
        <v>480</v>
      </c>
      <c r="D236" t="s">
        <v>581</v>
      </c>
      <c r="E236" t="s">
        <v>612</v>
      </c>
      <c r="F236" t="s">
        <v>311</v>
      </c>
      <c r="G236" t="s">
        <v>485</v>
      </c>
    </row>
    <row r="237" spans="1:7" x14ac:dyDescent="0.25">
      <c r="A237" t="s">
        <v>613</v>
      </c>
      <c r="B237" s="1">
        <v>46238.785451388889</v>
      </c>
      <c r="C237" t="s">
        <v>480</v>
      </c>
      <c r="D237" t="s">
        <v>581</v>
      </c>
      <c r="E237" t="s">
        <v>614</v>
      </c>
      <c r="F237" t="s">
        <v>302</v>
      </c>
      <c r="G237" t="s">
        <v>487</v>
      </c>
    </row>
    <row r="238" spans="1:7" x14ac:dyDescent="0.25">
      <c r="A238" t="s">
        <v>615</v>
      </c>
      <c r="B238" s="1">
        <v>46238.521620370368</v>
      </c>
      <c r="C238" t="s">
        <v>480</v>
      </c>
      <c r="D238" t="s">
        <v>581</v>
      </c>
      <c r="E238" t="s">
        <v>616</v>
      </c>
      <c r="F238" t="s">
        <v>302</v>
      </c>
      <c r="G238" t="s">
        <v>487</v>
      </c>
    </row>
    <row r="239" spans="1:7" x14ac:dyDescent="0.25">
      <c r="A239" t="s">
        <v>617</v>
      </c>
      <c r="B239" s="1">
        <v>46238.645405092589</v>
      </c>
      <c r="C239" t="s">
        <v>480</v>
      </c>
      <c r="D239" t="s">
        <v>581</v>
      </c>
      <c r="E239" t="s">
        <v>618</v>
      </c>
      <c r="F239" t="s">
        <v>305</v>
      </c>
      <c r="G239" t="s">
        <v>485</v>
      </c>
    </row>
    <row r="240" spans="1:7" x14ac:dyDescent="0.25">
      <c r="A240" t="s">
        <v>619</v>
      </c>
      <c r="B240" s="1">
        <v>46238.467800925922</v>
      </c>
      <c r="C240" t="s">
        <v>480</v>
      </c>
      <c r="D240" t="s">
        <v>581</v>
      </c>
      <c r="E240" t="s">
        <v>620</v>
      </c>
      <c r="F240" t="s">
        <v>311</v>
      </c>
      <c r="G240" t="s">
        <v>485</v>
      </c>
    </row>
    <row r="241" spans="1:7" x14ac:dyDescent="0.25">
      <c r="A241" t="s">
        <v>621</v>
      </c>
      <c r="B241" s="1">
        <v>46239.558055555557</v>
      </c>
      <c r="C241" t="s">
        <v>480</v>
      </c>
      <c r="D241" t="s">
        <v>581</v>
      </c>
      <c r="E241" t="s">
        <v>622</v>
      </c>
      <c r="F241" t="s">
        <v>307</v>
      </c>
      <c r="G241" t="s">
        <v>483</v>
      </c>
    </row>
    <row r="242" spans="1:7" x14ac:dyDescent="0.25">
      <c r="A242" t="s">
        <v>623</v>
      </c>
      <c r="B242" s="1">
        <v>46239.73877314815</v>
      </c>
      <c r="C242" t="s">
        <v>480</v>
      </c>
      <c r="D242" t="s">
        <v>581</v>
      </c>
      <c r="E242" t="s">
        <v>624</v>
      </c>
      <c r="F242" t="s">
        <v>307</v>
      </c>
      <c r="G242" t="s">
        <v>483</v>
      </c>
    </row>
    <row r="243" spans="1:7" x14ac:dyDescent="0.25">
      <c r="A243" t="s">
        <v>625</v>
      </c>
      <c r="B243" s="1">
        <v>46240.785300925927</v>
      </c>
      <c r="C243" t="s">
        <v>480</v>
      </c>
      <c r="D243" t="s">
        <v>581</v>
      </c>
      <c r="E243" t="s">
        <v>626</v>
      </c>
      <c r="F243" t="s">
        <v>305</v>
      </c>
      <c r="G243" t="s">
        <v>483</v>
      </c>
    </row>
    <row r="244" spans="1:7" x14ac:dyDescent="0.25">
      <c r="A244" t="s">
        <v>627</v>
      </c>
      <c r="B244" s="1">
        <v>46240.556562500002</v>
      </c>
      <c r="C244" t="s">
        <v>480</v>
      </c>
      <c r="D244" t="s">
        <v>581</v>
      </c>
      <c r="E244" t="s">
        <v>391</v>
      </c>
      <c r="F244" t="s">
        <v>307</v>
      </c>
      <c r="G244" t="s">
        <v>485</v>
      </c>
    </row>
    <row r="245" spans="1:7" x14ac:dyDescent="0.25">
      <c r="A245" t="s">
        <v>628</v>
      </c>
      <c r="B245" s="1">
        <v>46241.732662037037</v>
      </c>
      <c r="C245" t="s">
        <v>480</v>
      </c>
      <c r="D245" t="s">
        <v>581</v>
      </c>
      <c r="E245" t="s">
        <v>629</v>
      </c>
      <c r="F245" t="s">
        <v>302</v>
      </c>
      <c r="G245" t="s">
        <v>487</v>
      </c>
    </row>
    <row r="246" spans="1:7" x14ac:dyDescent="0.25">
      <c r="A246" t="s">
        <v>630</v>
      </c>
      <c r="B246" s="1">
        <v>46241.627245370371</v>
      </c>
      <c r="C246" t="s">
        <v>480</v>
      </c>
      <c r="D246" t="s">
        <v>581</v>
      </c>
      <c r="E246" t="s">
        <v>631</v>
      </c>
      <c r="F246" t="s">
        <v>305</v>
      </c>
      <c r="G246" t="s">
        <v>485</v>
      </c>
    </row>
    <row r="247" spans="1:7" x14ac:dyDescent="0.25">
      <c r="A247" t="s">
        <v>632</v>
      </c>
      <c r="B247" s="1">
        <v>46241.642708333333</v>
      </c>
      <c r="C247" t="s">
        <v>480</v>
      </c>
      <c r="D247" t="s">
        <v>581</v>
      </c>
      <c r="E247" t="s">
        <v>633</v>
      </c>
      <c r="F247" t="s">
        <v>311</v>
      </c>
      <c r="G247" t="s">
        <v>485</v>
      </c>
    </row>
    <row r="248" spans="1:7" x14ac:dyDescent="0.25">
      <c r="A248" t="s">
        <v>634</v>
      </c>
      <c r="B248" s="1">
        <v>46241.775787037041</v>
      </c>
      <c r="C248" t="s">
        <v>480</v>
      </c>
      <c r="D248" t="s">
        <v>581</v>
      </c>
      <c r="E248" t="s">
        <v>635</v>
      </c>
      <c r="F248" t="s">
        <v>311</v>
      </c>
      <c r="G248" t="s">
        <v>483</v>
      </c>
    </row>
    <row r="249" spans="1:7" x14ac:dyDescent="0.25">
      <c r="A249" t="s">
        <v>62</v>
      </c>
      <c r="B249" s="1">
        <v>46230.474560185183</v>
      </c>
      <c r="C249" t="s">
        <v>636</v>
      </c>
      <c r="D249" t="s">
        <v>481</v>
      </c>
      <c r="E249" t="s">
        <v>637</v>
      </c>
      <c r="F249" t="s">
        <v>311</v>
      </c>
      <c r="G249" t="s">
        <v>485</v>
      </c>
    </row>
    <row r="250" spans="1:7" x14ac:dyDescent="0.25">
      <c r="A250" t="s">
        <v>94</v>
      </c>
      <c r="B250" s="1">
        <v>46230.632280092592</v>
      </c>
      <c r="C250" t="s">
        <v>636</v>
      </c>
      <c r="D250" t="s">
        <v>481</v>
      </c>
      <c r="E250" t="s">
        <v>638</v>
      </c>
      <c r="F250" t="s">
        <v>307</v>
      </c>
      <c r="G250" t="s">
        <v>487</v>
      </c>
    </row>
    <row r="251" spans="1:7" x14ac:dyDescent="0.25">
      <c r="A251" t="s">
        <v>202</v>
      </c>
      <c r="B251" s="1">
        <v>46230.390150462961</v>
      </c>
      <c r="C251" t="s">
        <v>636</v>
      </c>
      <c r="D251" t="s">
        <v>481</v>
      </c>
      <c r="E251" t="s">
        <v>639</v>
      </c>
      <c r="F251" t="s">
        <v>307</v>
      </c>
      <c r="G251" t="s">
        <v>487</v>
      </c>
    </row>
    <row r="252" spans="1:7" x14ac:dyDescent="0.25">
      <c r="A252" t="s">
        <v>226</v>
      </c>
      <c r="B252" s="1">
        <v>46230.830405092594</v>
      </c>
      <c r="C252" t="s">
        <v>636</v>
      </c>
      <c r="D252" t="s">
        <v>481</v>
      </c>
      <c r="E252" t="s">
        <v>640</v>
      </c>
      <c r="F252" t="s">
        <v>305</v>
      </c>
      <c r="G252" t="s">
        <v>487</v>
      </c>
    </row>
    <row r="253" spans="1:7" x14ac:dyDescent="0.25">
      <c r="A253" t="s">
        <v>34</v>
      </c>
      <c r="B253" s="1">
        <v>46231.651759259257</v>
      </c>
      <c r="C253" t="s">
        <v>636</v>
      </c>
      <c r="D253" t="s">
        <v>481</v>
      </c>
      <c r="E253" t="s">
        <v>641</v>
      </c>
      <c r="F253" t="s">
        <v>307</v>
      </c>
      <c r="G253" t="s">
        <v>487</v>
      </c>
    </row>
    <row r="254" spans="1:7" x14ac:dyDescent="0.25">
      <c r="A254" t="s">
        <v>248</v>
      </c>
      <c r="B254" s="1">
        <v>46231.718530092592</v>
      </c>
      <c r="C254" t="s">
        <v>636</v>
      </c>
      <c r="D254" t="s">
        <v>481</v>
      </c>
      <c r="E254" t="s">
        <v>642</v>
      </c>
      <c r="F254" t="s">
        <v>302</v>
      </c>
      <c r="G254" t="s">
        <v>487</v>
      </c>
    </row>
    <row r="255" spans="1:7" x14ac:dyDescent="0.25">
      <c r="A255" t="s">
        <v>112</v>
      </c>
      <c r="B255" s="1">
        <v>46232.871770833335</v>
      </c>
      <c r="C255" t="s">
        <v>636</v>
      </c>
      <c r="D255" t="s">
        <v>481</v>
      </c>
      <c r="E255" t="s">
        <v>643</v>
      </c>
      <c r="F255" t="s">
        <v>307</v>
      </c>
      <c r="G255" t="s">
        <v>485</v>
      </c>
    </row>
    <row r="256" spans="1:7" x14ac:dyDescent="0.25">
      <c r="A256" t="s">
        <v>132</v>
      </c>
      <c r="B256" s="1">
        <v>46232.783171296294</v>
      </c>
      <c r="C256" t="s">
        <v>636</v>
      </c>
      <c r="D256" t="s">
        <v>481</v>
      </c>
      <c r="E256" t="s">
        <v>644</v>
      </c>
      <c r="F256" t="s">
        <v>307</v>
      </c>
      <c r="G256" t="s">
        <v>485</v>
      </c>
    </row>
    <row r="257" spans="1:7" x14ac:dyDescent="0.25">
      <c r="A257" t="s">
        <v>158</v>
      </c>
      <c r="B257" s="1">
        <v>46232.579270833332</v>
      </c>
      <c r="C257" t="s">
        <v>636</v>
      </c>
      <c r="D257" t="s">
        <v>481</v>
      </c>
      <c r="E257" t="s">
        <v>645</v>
      </c>
      <c r="F257" t="s">
        <v>305</v>
      </c>
      <c r="G257" t="s">
        <v>487</v>
      </c>
    </row>
    <row r="258" spans="1:7" x14ac:dyDescent="0.25">
      <c r="A258" t="s">
        <v>162</v>
      </c>
      <c r="B258" s="1">
        <v>46232.76390046296</v>
      </c>
      <c r="C258" t="s">
        <v>636</v>
      </c>
      <c r="D258" t="s">
        <v>481</v>
      </c>
      <c r="E258" t="s">
        <v>646</v>
      </c>
      <c r="F258" t="s">
        <v>311</v>
      </c>
      <c r="G258" t="s">
        <v>485</v>
      </c>
    </row>
    <row r="259" spans="1:7" x14ac:dyDescent="0.25">
      <c r="A259" t="s">
        <v>172</v>
      </c>
      <c r="B259" s="1">
        <v>46232.644247685188</v>
      </c>
      <c r="C259" t="s">
        <v>636</v>
      </c>
      <c r="D259" t="s">
        <v>481</v>
      </c>
      <c r="E259" t="s">
        <v>647</v>
      </c>
      <c r="F259" t="s">
        <v>305</v>
      </c>
      <c r="G259" t="s">
        <v>494</v>
      </c>
    </row>
    <row r="260" spans="1:7" x14ac:dyDescent="0.25">
      <c r="A260" t="s">
        <v>264</v>
      </c>
      <c r="B260" s="1">
        <v>46232.546817129631</v>
      </c>
      <c r="C260" t="s">
        <v>636</v>
      </c>
      <c r="D260" t="s">
        <v>481</v>
      </c>
      <c r="E260" t="s">
        <v>648</v>
      </c>
      <c r="F260" t="s">
        <v>307</v>
      </c>
      <c r="G260" t="s">
        <v>487</v>
      </c>
    </row>
    <row r="261" spans="1:7" x14ac:dyDescent="0.25">
      <c r="A261" t="s">
        <v>280</v>
      </c>
      <c r="B261" s="1">
        <v>46232.73170138889</v>
      </c>
      <c r="C261" t="s">
        <v>636</v>
      </c>
      <c r="D261" t="s">
        <v>481</v>
      </c>
      <c r="E261" t="s">
        <v>649</v>
      </c>
      <c r="F261" t="s">
        <v>307</v>
      </c>
      <c r="G261" t="s">
        <v>483</v>
      </c>
    </row>
    <row r="262" spans="1:7" x14ac:dyDescent="0.25">
      <c r="A262" t="s">
        <v>26</v>
      </c>
      <c r="B262" s="1">
        <v>46233.629143518519</v>
      </c>
      <c r="C262" t="s">
        <v>636</v>
      </c>
      <c r="D262" t="s">
        <v>481</v>
      </c>
      <c r="E262" t="s">
        <v>650</v>
      </c>
      <c r="F262" t="s">
        <v>307</v>
      </c>
      <c r="G262" t="s">
        <v>483</v>
      </c>
    </row>
    <row r="263" spans="1:7" x14ac:dyDescent="0.25">
      <c r="A263" t="s">
        <v>69</v>
      </c>
      <c r="B263" s="1">
        <v>46233.487986111111</v>
      </c>
      <c r="C263" t="s">
        <v>636</v>
      </c>
      <c r="D263" t="s">
        <v>481</v>
      </c>
      <c r="E263" t="s">
        <v>651</v>
      </c>
      <c r="F263" t="s">
        <v>307</v>
      </c>
      <c r="G263" t="s">
        <v>485</v>
      </c>
    </row>
    <row r="264" spans="1:7" x14ac:dyDescent="0.25">
      <c r="A264" t="s">
        <v>156</v>
      </c>
      <c r="B264" s="1">
        <v>46233.80746527778</v>
      </c>
      <c r="C264" t="s">
        <v>636</v>
      </c>
      <c r="D264" t="s">
        <v>481</v>
      </c>
      <c r="E264" t="s">
        <v>652</v>
      </c>
      <c r="F264" t="s">
        <v>302</v>
      </c>
      <c r="G264" t="s">
        <v>483</v>
      </c>
    </row>
    <row r="265" spans="1:7" x14ac:dyDescent="0.25">
      <c r="A265" t="s">
        <v>211</v>
      </c>
      <c r="B265" s="1">
        <v>46233.594085648147</v>
      </c>
      <c r="C265" t="s">
        <v>636</v>
      </c>
      <c r="D265" t="s">
        <v>481</v>
      </c>
      <c r="E265" t="s">
        <v>653</v>
      </c>
      <c r="F265" t="s">
        <v>305</v>
      </c>
      <c r="G265" t="s">
        <v>494</v>
      </c>
    </row>
    <row r="266" spans="1:7" x14ac:dyDescent="0.25">
      <c r="A266" t="s">
        <v>11</v>
      </c>
      <c r="B266" s="1">
        <v>46234.687372685185</v>
      </c>
      <c r="C266" t="s">
        <v>636</v>
      </c>
      <c r="D266" t="s">
        <v>481</v>
      </c>
      <c r="E266" t="s">
        <v>654</v>
      </c>
      <c r="F266" t="s">
        <v>305</v>
      </c>
      <c r="G266" t="s">
        <v>483</v>
      </c>
    </row>
    <row r="267" spans="1:7" x14ac:dyDescent="0.25">
      <c r="A267" t="s">
        <v>131</v>
      </c>
      <c r="B267" s="1">
        <v>46234.509699074071</v>
      </c>
      <c r="C267" t="s">
        <v>636</v>
      </c>
      <c r="D267" t="s">
        <v>481</v>
      </c>
      <c r="E267" t="s">
        <v>655</v>
      </c>
      <c r="F267" t="s">
        <v>311</v>
      </c>
      <c r="G267" t="s">
        <v>485</v>
      </c>
    </row>
    <row r="268" spans="1:7" x14ac:dyDescent="0.25">
      <c r="A268" t="s">
        <v>169</v>
      </c>
      <c r="B268" s="1">
        <v>46234.605902777781</v>
      </c>
      <c r="C268" t="s">
        <v>636</v>
      </c>
      <c r="D268" t="s">
        <v>481</v>
      </c>
      <c r="E268" t="s">
        <v>656</v>
      </c>
      <c r="F268" t="s">
        <v>305</v>
      </c>
      <c r="G268" t="s">
        <v>485</v>
      </c>
    </row>
    <row r="269" spans="1:7" x14ac:dyDescent="0.25">
      <c r="A269" t="s">
        <v>180</v>
      </c>
      <c r="B269" s="1">
        <v>46234.622453703705</v>
      </c>
      <c r="C269" t="s">
        <v>636</v>
      </c>
      <c r="D269" t="s">
        <v>481</v>
      </c>
      <c r="E269" t="s">
        <v>657</v>
      </c>
      <c r="F269" t="s">
        <v>302</v>
      </c>
      <c r="G269" t="s">
        <v>485</v>
      </c>
    </row>
    <row r="270" spans="1:7" x14ac:dyDescent="0.25">
      <c r="A270" t="s">
        <v>214</v>
      </c>
      <c r="B270" s="1">
        <v>46234.752662037034</v>
      </c>
      <c r="C270" t="s">
        <v>636</v>
      </c>
      <c r="D270" t="s">
        <v>481</v>
      </c>
      <c r="E270" t="s">
        <v>587</v>
      </c>
      <c r="F270" t="s">
        <v>302</v>
      </c>
      <c r="G270" t="s">
        <v>485</v>
      </c>
    </row>
    <row r="271" spans="1:7" x14ac:dyDescent="0.25">
      <c r="A271" t="s">
        <v>223</v>
      </c>
      <c r="B271" s="1">
        <v>46234.652384259258</v>
      </c>
      <c r="C271" t="s">
        <v>636</v>
      </c>
      <c r="D271" t="s">
        <v>481</v>
      </c>
      <c r="E271" t="s">
        <v>658</v>
      </c>
      <c r="F271" t="s">
        <v>305</v>
      </c>
      <c r="G271" t="s">
        <v>485</v>
      </c>
    </row>
    <row r="272" spans="1:7" x14ac:dyDescent="0.25">
      <c r="A272" t="s">
        <v>228</v>
      </c>
      <c r="B272" s="1">
        <v>46234.601898148147</v>
      </c>
      <c r="C272" t="s">
        <v>636</v>
      </c>
      <c r="D272" t="s">
        <v>481</v>
      </c>
      <c r="E272" t="s">
        <v>659</v>
      </c>
      <c r="F272" t="s">
        <v>302</v>
      </c>
      <c r="G272" t="s">
        <v>494</v>
      </c>
    </row>
    <row r="273" spans="1:7" x14ac:dyDescent="0.25">
      <c r="A273" t="s">
        <v>251</v>
      </c>
      <c r="B273" s="1">
        <v>46234.610937500001</v>
      </c>
      <c r="C273" t="s">
        <v>636</v>
      </c>
      <c r="D273" t="s">
        <v>481</v>
      </c>
      <c r="E273" t="s">
        <v>660</v>
      </c>
      <c r="F273" t="s">
        <v>307</v>
      </c>
      <c r="G273" t="s">
        <v>485</v>
      </c>
    </row>
    <row r="274" spans="1:7" x14ac:dyDescent="0.25">
      <c r="A274" t="s">
        <v>126</v>
      </c>
      <c r="B274" s="1">
        <v>46235.402326388888</v>
      </c>
      <c r="C274" t="s">
        <v>636</v>
      </c>
      <c r="D274" t="s">
        <v>481</v>
      </c>
      <c r="E274" t="s">
        <v>661</v>
      </c>
      <c r="F274" t="s">
        <v>302</v>
      </c>
      <c r="G274" t="s">
        <v>487</v>
      </c>
    </row>
    <row r="275" spans="1:7" x14ac:dyDescent="0.25">
      <c r="A275" t="s">
        <v>173</v>
      </c>
      <c r="B275" s="1">
        <v>46235.842129629629</v>
      </c>
      <c r="C275" t="s">
        <v>636</v>
      </c>
      <c r="D275" t="s">
        <v>481</v>
      </c>
      <c r="E275" t="s">
        <v>662</v>
      </c>
      <c r="F275" t="s">
        <v>305</v>
      </c>
      <c r="G275" t="s">
        <v>487</v>
      </c>
    </row>
    <row r="276" spans="1:7" x14ac:dyDescent="0.25">
      <c r="A276" t="s">
        <v>192</v>
      </c>
      <c r="B276" s="1">
        <v>46235.620972222219</v>
      </c>
      <c r="C276" t="s">
        <v>636</v>
      </c>
      <c r="D276" t="s">
        <v>481</v>
      </c>
      <c r="E276" t="s">
        <v>663</v>
      </c>
      <c r="F276" t="s">
        <v>311</v>
      </c>
      <c r="G276" t="s">
        <v>494</v>
      </c>
    </row>
    <row r="277" spans="1:7" x14ac:dyDescent="0.25">
      <c r="A277" t="s">
        <v>196</v>
      </c>
      <c r="B277" s="1">
        <v>46235.389374999999</v>
      </c>
      <c r="C277" t="s">
        <v>636</v>
      </c>
      <c r="D277" t="s">
        <v>481</v>
      </c>
      <c r="E277" t="s">
        <v>664</v>
      </c>
      <c r="F277" t="s">
        <v>305</v>
      </c>
      <c r="G277" t="s">
        <v>485</v>
      </c>
    </row>
    <row r="278" spans="1:7" x14ac:dyDescent="0.25">
      <c r="A278" t="s">
        <v>249</v>
      </c>
      <c r="B278" s="1">
        <v>46235.485393518517</v>
      </c>
      <c r="C278" t="s">
        <v>636</v>
      </c>
      <c r="D278" t="s">
        <v>481</v>
      </c>
      <c r="E278" t="s">
        <v>665</v>
      </c>
      <c r="F278" t="s">
        <v>302</v>
      </c>
      <c r="G278" t="s">
        <v>483</v>
      </c>
    </row>
    <row r="279" spans="1:7" x14ac:dyDescent="0.25">
      <c r="A279" t="s">
        <v>255</v>
      </c>
      <c r="B279" s="1">
        <v>46235.467013888891</v>
      </c>
      <c r="C279" t="s">
        <v>636</v>
      </c>
      <c r="D279" t="s">
        <v>481</v>
      </c>
      <c r="E279" t="s">
        <v>666</v>
      </c>
      <c r="F279" t="s">
        <v>307</v>
      </c>
      <c r="G279" t="s">
        <v>487</v>
      </c>
    </row>
    <row r="280" spans="1:7" x14ac:dyDescent="0.25">
      <c r="A280" t="s">
        <v>272</v>
      </c>
      <c r="B280" s="1">
        <v>46235.440474537034</v>
      </c>
      <c r="C280" t="s">
        <v>636</v>
      </c>
      <c r="D280" t="s">
        <v>481</v>
      </c>
      <c r="E280" t="s">
        <v>667</v>
      </c>
      <c r="F280" t="s">
        <v>311</v>
      </c>
      <c r="G280" t="s">
        <v>494</v>
      </c>
    </row>
    <row r="281" spans="1:7" x14ac:dyDescent="0.25">
      <c r="A281" t="s">
        <v>285</v>
      </c>
      <c r="B281" s="1">
        <v>46235.781851851854</v>
      </c>
      <c r="C281" t="s">
        <v>636</v>
      </c>
      <c r="D281" t="s">
        <v>481</v>
      </c>
      <c r="E281" t="s">
        <v>668</v>
      </c>
      <c r="F281" t="s">
        <v>311</v>
      </c>
      <c r="G281" t="s">
        <v>485</v>
      </c>
    </row>
    <row r="282" spans="1:7" x14ac:dyDescent="0.25">
      <c r="A282" t="s">
        <v>85</v>
      </c>
      <c r="B282" s="1">
        <v>46236.859236111108</v>
      </c>
      <c r="C282" t="s">
        <v>636</v>
      </c>
      <c r="D282" t="s">
        <v>481</v>
      </c>
      <c r="E282" t="s">
        <v>669</v>
      </c>
      <c r="F282" t="s">
        <v>311</v>
      </c>
      <c r="G282" t="s">
        <v>494</v>
      </c>
    </row>
    <row r="283" spans="1:7" x14ac:dyDescent="0.25">
      <c r="A283" t="s">
        <v>113</v>
      </c>
      <c r="B283" s="1">
        <v>46236.701423611114</v>
      </c>
      <c r="C283" t="s">
        <v>636</v>
      </c>
      <c r="D283" t="s">
        <v>481</v>
      </c>
      <c r="E283" t="s">
        <v>670</v>
      </c>
      <c r="F283" t="s">
        <v>307</v>
      </c>
      <c r="G283" t="s">
        <v>487</v>
      </c>
    </row>
    <row r="284" spans="1:7" x14ac:dyDescent="0.25">
      <c r="A284" t="s">
        <v>120</v>
      </c>
      <c r="B284" s="1">
        <v>46236.819293981483</v>
      </c>
      <c r="C284" t="s">
        <v>636</v>
      </c>
      <c r="D284" t="s">
        <v>481</v>
      </c>
      <c r="E284" t="s">
        <v>671</v>
      </c>
      <c r="F284" t="s">
        <v>311</v>
      </c>
      <c r="G284" t="s">
        <v>487</v>
      </c>
    </row>
    <row r="285" spans="1:7" x14ac:dyDescent="0.25">
      <c r="A285" t="s">
        <v>134</v>
      </c>
      <c r="B285" s="1">
        <v>46236.477893518517</v>
      </c>
      <c r="C285" t="s">
        <v>636</v>
      </c>
      <c r="D285" t="s">
        <v>481</v>
      </c>
      <c r="E285" t="s">
        <v>672</v>
      </c>
      <c r="F285" t="s">
        <v>302</v>
      </c>
      <c r="G285" t="s">
        <v>483</v>
      </c>
    </row>
    <row r="286" spans="1:7" x14ac:dyDescent="0.25">
      <c r="A286" t="s">
        <v>212</v>
      </c>
      <c r="B286" s="1">
        <v>46236.872499999998</v>
      </c>
      <c r="C286" t="s">
        <v>636</v>
      </c>
      <c r="D286" t="s">
        <v>481</v>
      </c>
      <c r="E286" t="s">
        <v>673</v>
      </c>
      <c r="F286" t="s">
        <v>307</v>
      </c>
      <c r="G286" t="s">
        <v>494</v>
      </c>
    </row>
    <row r="287" spans="1:7" x14ac:dyDescent="0.25">
      <c r="A287" t="s">
        <v>152</v>
      </c>
      <c r="B287" s="1">
        <v>46237.725335648145</v>
      </c>
      <c r="C287" t="s">
        <v>636</v>
      </c>
      <c r="D287" t="s">
        <v>481</v>
      </c>
      <c r="E287" t="s">
        <v>674</v>
      </c>
      <c r="F287" t="s">
        <v>311</v>
      </c>
      <c r="G287" t="s">
        <v>485</v>
      </c>
    </row>
    <row r="288" spans="1:7" x14ac:dyDescent="0.25">
      <c r="A288" t="s">
        <v>165</v>
      </c>
      <c r="B288" s="1">
        <v>46237.854108796295</v>
      </c>
      <c r="C288" t="s">
        <v>636</v>
      </c>
      <c r="D288" t="s">
        <v>481</v>
      </c>
      <c r="E288" t="s">
        <v>675</v>
      </c>
      <c r="F288" t="s">
        <v>305</v>
      </c>
      <c r="G288" t="s">
        <v>494</v>
      </c>
    </row>
    <row r="289" spans="1:7" x14ac:dyDescent="0.25">
      <c r="A289" t="s">
        <v>182</v>
      </c>
      <c r="B289" s="1">
        <v>46237.827256944445</v>
      </c>
      <c r="C289" t="s">
        <v>636</v>
      </c>
      <c r="D289" t="s">
        <v>481</v>
      </c>
      <c r="E289" t="s">
        <v>676</v>
      </c>
      <c r="F289" t="s">
        <v>305</v>
      </c>
      <c r="G289" t="s">
        <v>483</v>
      </c>
    </row>
    <row r="290" spans="1:7" x14ac:dyDescent="0.25">
      <c r="A290" t="s">
        <v>231</v>
      </c>
      <c r="B290" s="1">
        <v>46237.581006944441</v>
      </c>
      <c r="C290" t="s">
        <v>636</v>
      </c>
      <c r="D290" t="s">
        <v>481</v>
      </c>
      <c r="E290" t="s">
        <v>677</v>
      </c>
      <c r="F290" t="s">
        <v>307</v>
      </c>
      <c r="G290" t="s">
        <v>483</v>
      </c>
    </row>
    <row r="291" spans="1:7" x14ac:dyDescent="0.25">
      <c r="A291" t="s">
        <v>237</v>
      </c>
      <c r="B291" s="1">
        <v>46237.579131944447</v>
      </c>
      <c r="C291" t="s">
        <v>636</v>
      </c>
      <c r="D291" t="s">
        <v>481</v>
      </c>
      <c r="E291" t="s">
        <v>678</v>
      </c>
      <c r="F291" t="s">
        <v>302</v>
      </c>
      <c r="G291" t="s">
        <v>487</v>
      </c>
    </row>
    <row r="292" spans="1:7" x14ac:dyDescent="0.25">
      <c r="A292" t="s">
        <v>247</v>
      </c>
      <c r="B292" s="1">
        <v>46237.737662037034</v>
      </c>
      <c r="C292" t="s">
        <v>636</v>
      </c>
      <c r="D292" t="s">
        <v>481</v>
      </c>
      <c r="E292" t="s">
        <v>679</v>
      </c>
      <c r="F292" t="s">
        <v>311</v>
      </c>
      <c r="G292" t="s">
        <v>487</v>
      </c>
    </row>
    <row r="293" spans="1:7" x14ac:dyDescent="0.25">
      <c r="A293" t="s">
        <v>680</v>
      </c>
      <c r="B293" s="1">
        <v>46238.688310185185</v>
      </c>
      <c r="C293" t="s">
        <v>636</v>
      </c>
      <c r="D293" t="s">
        <v>481</v>
      </c>
      <c r="E293" t="s">
        <v>681</v>
      </c>
      <c r="F293" t="s">
        <v>305</v>
      </c>
      <c r="G293" t="s">
        <v>494</v>
      </c>
    </row>
    <row r="294" spans="1:7" x14ac:dyDescent="0.25">
      <c r="A294" t="s">
        <v>682</v>
      </c>
      <c r="B294" s="1">
        <v>46238.394675925927</v>
      </c>
      <c r="C294" t="s">
        <v>636</v>
      </c>
      <c r="D294" t="s">
        <v>481</v>
      </c>
      <c r="E294" t="s">
        <v>683</v>
      </c>
      <c r="F294" t="s">
        <v>311</v>
      </c>
      <c r="G294" t="s">
        <v>483</v>
      </c>
    </row>
    <row r="295" spans="1:7" x14ac:dyDescent="0.25">
      <c r="A295" t="s">
        <v>684</v>
      </c>
      <c r="B295" s="1">
        <v>46238.423935185187</v>
      </c>
      <c r="C295" t="s">
        <v>636</v>
      </c>
      <c r="D295" t="s">
        <v>481</v>
      </c>
      <c r="E295" t="s">
        <v>685</v>
      </c>
      <c r="F295" t="s">
        <v>305</v>
      </c>
      <c r="G295" t="s">
        <v>485</v>
      </c>
    </row>
    <row r="296" spans="1:7" x14ac:dyDescent="0.25">
      <c r="A296" t="s">
        <v>686</v>
      </c>
      <c r="B296" s="1">
        <v>46238.639745370368</v>
      </c>
      <c r="C296" t="s">
        <v>636</v>
      </c>
      <c r="D296" t="s">
        <v>481</v>
      </c>
      <c r="E296" t="s">
        <v>687</v>
      </c>
      <c r="F296" t="s">
        <v>307</v>
      </c>
      <c r="G296" t="s">
        <v>494</v>
      </c>
    </row>
    <row r="297" spans="1:7" x14ac:dyDescent="0.25">
      <c r="A297" t="s">
        <v>688</v>
      </c>
      <c r="B297" s="1">
        <v>46238.867523148147</v>
      </c>
      <c r="C297" t="s">
        <v>636</v>
      </c>
      <c r="D297" t="s">
        <v>481</v>
      </c>
      <c r="E297" t="s">
        <v>689</v>
      </c>
      <c r="F297" t="s">
        <v>302</v>
      </c>
      <c r="G297" t="s">
        <v>494</v>
      </c>
    </row>
    <row r="298" spans="1:7" x14ac:dyDescent="0.25">
      <c r="A298" t="s">
        <v>690</v>
      </c>
      <c r="B298" s="1">
        <v>46239.794745370367</v>
      </c>
      <c r="C298" t="s">
        <v>636</v>
      </c>
      <c r="D298" t="s">
        <v>481</v>
      </c>
      <c r="E298" t="s">
        <v>691</v>
      </c>
      <c r="F298" t="s">
        <v>311</v>
      </c>
      <c r="G298" t="s">
        <v>483</v>
      </c>
    </row>
    <row r="299" spans="1:7" x14ac:dyDescent="0.25">
      <c r="A299" t="s">
        <v>692</v>
      </c>
      <c r="B299" s="1">
        <v>46239.805474537039</v>
      </c>
      <c r="C299" t="s">
        <v>636</v>
      </c>
      <c r="D299" t="s">
        <v>481</v>
      </c>
      <c r="E299" t="s">
        <v>693</v>
      </c>
      <c r="F299" t="s">
        <v>305</v>
      </c>
      <c r="G299" t="s">
        <v>485</v>
      </c>
    </row>
    <row r="300" spans="1:7" x14ac:dyDescent="0.25">
      <c r="A300" t="s">
        <v>694</v>
      </c>
      <c r="B300" s="1">
        <v>46239.559317129628</v>
      </c>
      <c r="C300" t="s">
        <v>636</v>
      </c>
      <c r="D300" t="s">
        <v>481</v>
      </c>
      <c r="E300" t="s">
        <v>695</v>
      </c>
      <c r="F300" t="s">
        <v>311</v>
      </c>
      <c r="G300" t="s">
        <v>487</v>
      </c>
    </row>
    <row r="301" spans="1:7" x14ac:dyDescent="0.25">
      <c r="A301" t="s">
        <v>696</v>
      </c>
      <c r="B301" s="1">
        <v>46239.579756944448</v>
      </c>
      <c r="C301" t="s">
        <v>636</v>
      </c>
      <c r="D301" t="s">
        <v>481</v>
      </c>
      <c r="E301" t="s">
        <v>697</v>
      </c>
      <c r="F301" t="s">
        <v>307</v>
      </c>
      <c r="G301" t="s">
        <v>483</v>
      </c>
    </row>
    <row r="302" spans="1:7" x14ac:dyDescent="0.25">
      <c r="A302" t="s">
        <v>698</v>
      </c>
      <c r="B302" s="1">
        <v>46239.5628125</v>
      </c>
      <c r="C302" t="s">
        <v>636</v>
      </c>
      <c r="D302" t="s">
        <v>481</v>
      </c>
      <c r="E302" t="s">
        <v>699</v>
      </c>
      <c r="F302" t="s">
        <v>307</v>
      </c>
      <c r="G302" t="s">
        <v>485</v>
      </c>
    </row>
    <row r="303" spans="1:7" x14ac:dyDescent="0.25">
      <c r="A303" t="s">
        <v>700</v>
      </c>
      <c r="B303" s="1">
        <v>46239.666527777779</v>
      </c>
      <c r="C303" t="s">
        <v>636</v>
      </c>
      <c r="D303" t="s">
        <v>481</v>
      </c>
      <c r="E303" t="s">
        <v>701</v>
      </c>
      <c r="F303" t="s">
        <v>307</v>
      </c>
      <c r="G303" t="s">
        <v>487</v>
      </c>
    </row>
    <row r="304" spans="1:7" x14ac:dyDescent="0.25">
      <c r="A304" t="s">
        <v>702</v>
      </c>
      <c r="B304" s="1">
        <v>46239.800451388888</v>
      </c>
      <c r="C304" t="s">
        <v>636</v>
      </c>
      <c r="D304" t="s">
        <v>481</v>
      </c>
      <c r="E304" t="s">
        <v>703</v>
      </c>
      <c r="F304" t="s">
        <v>311</v>
      </c>
      <c r="G304" t="s">
        <v>487</v>
      </c>
    </row>
    <row r="305" spans="1:7" x14ac:dyDescent="0.25">
      <c r="A305" t="s">
        <v>704</v>
      </c>
      <c r="B305" s="1">
        <v>46239.550243055557</v>
      </c>
      <c r="C305" t="s">
        <v>636</v>
      </c>
      <c r="D305" t="s">
        <v>481</v>
      </c>
      <c r="E305" t="s">
        <v>705</v>
      </c>
      <c r="F305" t="s">
        <v>305</v>
      </c>
      <c r="G305" t="s">
        <v>483</v>
      </c>
    </row>
    <row r="306" spans="1:7" x14ac:dyDescent="0.25">
      <c r="A306" t="s">
        <v>706</v>
      </c>
      <c r="B306" s="1">
        <v>46239.749988425923</v>
      </c>
      <c r="C306" t="s">
        <v>636</v>
      </c>
      <c r="D306" t="s">
        <v>481</v>
      </c>
      <c r="E306" t="s">
        <v>707</v>
      </c>
      <c r="F306" t="s">
        <v>311</v>
      </c>
      <c r="G306" t="s">
        <v>485</v>
      </c>
    </row>
    <row r="307" spans="1:7" x14ac:dyDescent="0.25">
      <c r="A307" t="s">
        <v>708</v>
      </c>
      <c r="B307" s="1">
        <v>46239.503310185188</v>
      </c>
      <c r="C307" t="s">
        <v>636</v>
      </c>
      <c r="D307" t="s">
        <v>481</v>
      </c>
      <c r="E307" t="s">
        <v>709</v>
      </c>
      <c r="F307" t="s">
        <v>311</v>
      </c>
      <c r="G307" t="s">
        <v>487</v>
      </c>
    </row>
    <row r="308" spans="1:7" x14ac:dyDescent="0.25">
      <c r="A308" t="s">
        <v>710</v>
      </c>
      <c r="B308" s="1">
        <v>46239.838391203702</v>
      </c>
      <c r="C308" t="s">
        <v>636</v>
      </c>
      <c r="D308" t="s">
        <v>481</v>
      </c>
      <c r="E308" t="s">
        <v>711</v>
      </c>
      <c r="F308" t="s">
        <v>305</v>
      </c>
      <c r="G308" t="s">
        <v>494</v>
      </c>
    </row>
    <row r="309" spans="1:7" x14ac:dyDescent="0.25">
      <c r="A309" t="s">
        <v>712</v>
      </c>
      <c r="B309" s="1">
        <v>46239.409826388888</v>
      </c>
      <c r="C309" t="s">
        <v>636</v>
      </c>
      <c r="D309" t="s">
        <v>481</v>
      </c>
      <c r="E309" t="s">
        <v>713</v>
      </c>
      <c r="F309" t="s">
        <v>305</v>
      </c>
      <c r="G309" t="s">
        <v>487</v>
      </c>
    </row>
    <row r="310" spans="1:7" x14ac:dyDescent="0.25">
      <c r="A310" t="s">
        <v>714</v>
      </c>
      <c r="B310" s="1">
        <v>46240.431458333333</v>
      </c>
      <c r="C310" t="s">
        <v>636</v>
      </c>
      <c r="D310" t="s">
        <v>481</v>
      </c>
      <c r="E310" t="s">
        <v>715</v>
      </c>
      <c r="F310" t="s">
        <v>311</v>
      </c>
      <c r="G310" t="s">
        <v>485</v>
      </c>
    </row>
    <row r="311" spans="1:7" x14ac:dyDescent="0.25">
      <c r="A311" t="s">
        <v>716</v>
      </c>
      <c r="B311" s="1">
        <v>46240.741608796299</v>
      </c>
      <c r="C311" t="s">
        <v>636</v>
      </c>
      <c r="D311" t="s">
        <v>481</v>
      </c>
      <c r="E311" t="s">
        <v>717</v>
      </c>
      <c r="F311" t="s">
        <v>302</v>
      </c>
      <c r="G311" t="s">
        <v>485</v>
      </c>
    </row>
    <row r="312" spans="1:7" x14ac:dyDescent="0.25">
      <c r="A312" t="s">
        <v>718</v>
      </c>
      <c r="B312" s="1">
        <v>46240.749710648146</v>
      </c>
      <c r="C312" t="s">
        <v>636</v>
      </c>
      <c r="D312" t="s">
        <v>481</v>
      </c>
      <c r="E312" t="s">
        <v>719</v>
      </c>
      <c r="F312" t="s">
        <v>305</v>
      </c>
      <c r="G312" t="s">
        <v>483</v>
      </c>
    </row>
    <row r="313" spans="1:7" x14ac:dyDescent="0.25">
      <c r="A313" t="s">
        <v>720</v>
      </c>
      <c r="B313" s="1">
        <v>46240.411666666667</v>
      </c>
      <c r="C313" t="s">
        <v>636</v>
      </c>
      <c r="D313" t="s">
        <v>481</v>
      </c>
      <c r="E313" t="s">
        <v>721</v>
      </c>
      <c r="F313" t="s">
        <v>307</v>
      </c>
      <c r="G313" t="s">
        <v>487</v>
      </c>
    </row>
    <row r="314" spans="1:7" x14ac:dyDescent="0.25">
      <c r="A314" t="s">
        <v>722</v>
      </c>
      <c r="B314" s="1">
        <v>46240.579687500001</v>
      </c>
      <c r="C314" t="s">
        <v>636</v>
      </c>
      <c r="D314" t="s">
        <v>481</v>
      </c>
      <c r="E314" t="s">
        <v>723</v>
      </c>
      <c r="F314" t="s">
        <v>311</v>
      </c>
      <c r="G314" t="s">
        <v>483</v>
      </c>
    </row>
    <row r="315" spans="1:7" x14ac:dyDescent="0.25">
      <c r="A315" t="s">
        <v>724</v>
      </c>
      <c r="B315" s="1">
        <v>46240.590416666666</v>
      </c>
      <c r="C315" t="s">
        <v>636</v>
      </c>
      <c r="D315" t="s">
        <v>481</v>
      </c>
      <c r="E315" t="s">
        <v>725</v>
      </c>
      <c r="F315" t="s">
        <v>307</v>
      </c>
      <c r="G315" t="s">
        <v>487</v>
      </c>
    </row>
    <row r="316" spans="1:7" x14ac:dyDescent="0.25">
      <c r="A316" t="s">
        <v>726</v>
      </c>
      <c r="B316" s="1">
        <v>46240.485995370371</v>
      </c>
      <c r="C316" t="s">
        <v>636</v>
      </c>
      <c r="D316" t="s">
        <v>481</v>
      </c>
      <c r="E316" t="s">
        <v>727</v>
      </c>
      <c r="F316" t="s">
        <v>307</v>
      </c>
      <c r="G316" t="s">
        <v>485</v>
      </c>
    </row>
    <row r="317" spans="1:7" x14ac:dyDescent="0.25">
      <c r="A317" t="s">
        <v>728</v>
      </c>
      <c r="B317" s="1">
        <v>46240.400358796294</v>
      </c>
      <c r="C317" t="s">
        <v>636</v>
      </c>
      <c r="D317" t="s">
        <v>481</v>
      </c>
      <c r="E317" t="s">
        <v>729</v>
      </c>
      <c r="F317" t="s">
        <v>311</v>
      </c>
      <c r="G317" t="s">
        <v>487</v>
      </c>
    </row>
    <row r="318" spans="1:7" x14ac:dyDescent="0.25">
      <c r="A318" t="s">
        <v>730</v>
      </c>
      <c r="B318" s="1">
        <v>46241.620381944442</v>
      </c>
      <c r="C318" t="s">
        <v>636</v>
      </c>
      <c r="D318" t="s">
        <v>481</v>
      </c>
      <c r="E318" t="s">
        <v>731</v>
      </c>
      <c r="F318" t="s">
        <v>302</v>
      </c>
      <c r="G318" t="s">
        <v>485</v>
      </c>
    </row>
    <row r="319" spans="1:7" x14ac:dyDescent="0.25">
      <c r="A319" t="s">
        <v>732</v>
      </c>
      <c r="B319" s="1">
        <v>46241.470925925925</v>
      </c>
      <c r="C319" t="s">
        <v>636</v>
      </c>
      <c r="D319" t="s">
        <v>481</v>
      </c>
      <c r="E319" t="s">
        <v>733</v>
      </c>
      <c r="F319" t="s">
        <v>311</v>
      </c>
      <c r="G319" t="s">
        <v>494</v>
      </c>
    </row>
    <row r="320" spans="1:7" x14ac:dyDescent="0.25">
      <c r="A320" t="s">
        <v>734</v>
      </c>
      <c r="B320" s="1">
        <v>46241.774560185186</v>
      </c>
      <c r="C320" t="s">
        <v>636</v>
      </c>
      <c r="D320" t="s">
        <v>481</v>
      </c>
      <c r="E320" t="s">
        <v>735</v>
      </c>
      <c r="F320" t="s">
        <v>311</v>
      </c>
      <c r="G320" t="s">
        <v>487</v>
      </c>
    </row>
    <row r="321" spans="1:7" x14ac:dyDescent="0.25">
      <c r="A321" t="s">
        <v>736</v>
      </c>
      <c r="B321" s="1">
        <v>46241.752800925926</v>
      </c>
      <c r="C321" t="s">
        <v>636</v>
      </c>
      <c r="D321" t="s">
        <v>481</v>
      </c>
      <c r="E321" t="s">
        <v>737</v>
      </c>
      <c r="F321" t="s">
        <v>305</v>
      </c>
      <c r="G321" t="s">
        <v>485</v>
      </c>
    </row>
    <row r="322" spans="1:7" x14ac:dyDescent="0.25">
      <c r="A322" t="s">
        <v>738</v>
      </c>
      <c r="B322" s="1">
        <v>46241.766226851854</v>
      </c>
      <c r="C322" t="s">
        <v>636</v>
      </c>
      <c r="D322" t="s">
        <v>481</v>
      </c>
      <c r="E322" t="s">
        <v>739</v>
      </c>
      <c r="F322" t="s">
        <v>311</v>
      </c>
      <c r="G322" t="s">
        <v>487</v>
      </c>
    </row>
    <row r="323" spans="1:7" x14ac:dyDescent="0.25">
      <c r="A323" t="s">
        <v>740</v>
      </c>
      <c r="B323" s="1">
        <v>46241.467233796298</v>
      </c>
      <c r="C323" t="s">
        <v>636</v>
      </c>
      <c r="D323" t="s">
        <v>481</v>
      </c>
      <c r="E323" t="s">
        <v>741</v>
      </c>
      <c r="F323" t="s">
        <v>302</v>
      </c>
      <c r="G323" t="s">
        <v>487</v>
      </c>
    </row>
    <row r="324" spans="1:7" x14ac:dyDescent="0.25">
      <c r="A324" t="s">
        <v>21</v>
      </c>
      <c r="B324" s="1">
        <v>46230.407835648148</v>
      </c>
      <c r="C324" t="s">
        <v>636</v>
      </c>
      <c r="D324" t="s">
        <v>581</v>
      </c>
      <c r="E324" t="s">
        <v>742</v>
      </c>
      <c r="F324" t="s">
        <v>311</v>
      </c>
      <c r="G324" t="s">
        <v>487</v>
      </c>
    </row>
    <row r="325" spans="1:7" x14ac:dyDescent="0.25">
      <c r="A325" t="s">
        <v>36</v>
      </c>
      <c r="B325" s="1">
        <v>46230.762395833335</v>
      </c>
      <c r="C325" t="s">
        <v>636</v>
      </c>
      <c r="D325" t="s">
        <v>581</v>
      </c>
      <c r="E325" t="s">
        <v>743</v>
      </c>
      <c r="F325" t="s">
        <v>307</v>
      </c>
      <c r="G325" t="s">
        <v>494</v>
      </c>
    </row>
    <row r="326" spans="1:7" x14ac:dyDescent="0.25">
      <c r="A326" t="s">
        <v>86</v>
      </c>
      <c r="B326" s="1">
        <v>46230.45003472222</v>
      </c>
      <c r="C326" t="s">
        <v>636</v>
      </c>
      <c r="D326" t="s">
        <v>581</v>
      </c>
      <c r="E326" t="s">
        <v>744</v>
      </c>
      <c r="F326" t="s">
        <v>307</v>
      </c>
      <c r="G326" t="s">
        <v>487</v>
      </c>
    </row>
    <row r="327" spans="1:7" x14ac:dyDescent="0.25">
      <c r="A327" t="s">
        <v>102</v>
      </c>
      <c r="B327" s="1">
        <v>46230.552118055559</v>
      </c>
      <c r="C327" t="s">
        <v>636</v>
      </c>
      <c r="D327" t="s">
        <v>581</v>
      </c>
      <c r="E327" t="s">
        <v>745</v>
      </c>
      <c r="F327" t="s">
        <v>302</v>
      </c>
      <c r="G327" t="s">
        <v>485</v>
      </c>
    </row>
    <row r="328" spans="1:7" x14ac:dyDescent="0.25">
      <c r="A328" t="s">
        <v>121</v>
      </c>
      <c r="B328" s="1">
        <v>46230.448379629626</v>
      </c>
      <c r="C328" t="s">
        <v>636</v>
      </c>
      <c r="D328" t="s">
        <v>581</v>
      </c>
      <c r="E328" t="s">
        <v>746</v>
      </c>
      <c r="F328" t="s">
        <v>302</v>
      </c>
      <c r="G328" t="s">
        <v>485</v>
      </c>
    </row>
    <row r="329" spans="1:7" x14ac:dyDescent="0.25">
      <c r="A329" t="s">
        <v>135</v>
      </c>
      <c r="B329" s="1">
        <v>46230.657187500001</v>
      </c>
      <c r="C329" t="s">
        <v>636</v>
      </c>
      <c r="D329" t="s">
        <v>581</v>
      </c>
      <c r="E329" t="s">
        <v>747</v>
      </c>
      <c r="F329" t="s">
        <v>311</v>
      </c>
      <c r="G329" t="s">
        <v>487</v>
      </c>
    </row>
    <row r="330" spans="1:7" x14ac:dyDescent="0.25">
      <c r="A330" t="s">
        <v>167</v>
      </c>
      <c r="B330" s="1">
        <v>46230.461550925924</v>
      </c>
      <c r="C330" t="s">
        <v>636</v>
      </c>
      <c r="D330" t="s">
        <v>581</v>
      </c>
      <c r="E330" t="s">
        <v>748</v>
      </c>
      <c r="F330" t="s">
        <v>302</v>
      </c>
      <c r="G330" t="s">
        <v>494</v>
      </c>
    </row>
    <row r="331" spans="1:7" x14ac:dyDescent="0.25">
      <c r="A331" t="s">
        <v>183</v>
      </c>
      <c r="B331" s="1">
        <v>46230.499560185184</v>
      </c>
      <c r="C331" t="s">
        <v>636</v>
      </c>
      <c r="D331" t="s">
        <v>581</v>
      </c>
      <c r="E331" t="s">
        <v>749</v>
      </c>
      <c r="F331" t="s">
        <v>311</v>
      </c>
      <c r="G331" t="s">
        <v>483</v>
      </c>
    </row>
    <row r="332" spans="1:7" x14ac:dyDescent="0.25">
      <c r="A332" t="s">
        <v>216</v>
      </c>
      <c r="B332" s="1">
        <v>46230.414837962962</v>
      </c>
      <c r="C332" t="s">
        <v>636</v>
      </c>
      <c r="D332" t="s">
        <v>581</v>
      </c>
      <c r="E332" t="s">
        <v>750</v>
      </c>
      <c r="F332" t="s">
        <v>302</v>
      </c>
      <c r="G332" t="s">
        <v>485</v>
      </c>
    </row>
    <row r="333" spans="1:7" x14ac:dyDescent="0.25">
      <c r="A333" t="s">
        <v>232</v>
      </c>
      <c r="B333" s="1">
        <v>46230.682164351849</v>
      </c>
      <c r="C333" t="s">
        <v>636</v>
      </c>
      <c r="D333" t="s">
        <v>581</v>
      </c>
      <c r="E333" t="s">
        <v>751</v>
      </c>
      <c r="F333" t="s">
        <v>302</v>
      </c>
      <c r="G333" t="s">
        <v>485</v>
      </c>
    </row>
    <row r="334" spans="1:7" x14ac:dyDescent="0.25">
      <c r="A334" t="s">
        <v>111</v>
      </c>
      <c r="B334" s="1">
        <v>46231.728773148148</v>
      </c>
      <c r="C334" t="s">
        <v>636</v>
      </c>
      <c r="D334" t="s">
        <v>581</v>
      </c>
      <c r="E334" t="s">
        <v>752</v>
      </c>
      <c r="F334" t="s">
        <v>302</v>
      </c>
      <c r="G334" t="s">
        <v>494</v>
      </c>
    </row>
    <row r="335" spans="1:7" x14ac:dyDescent="0.25">
      <c r="A335" t="s">
        <v>213</v>
      </c>
      <c r="B335" s="1">
        <v>46231.841898148145</v>
      </c>
      <c r="C335" t="s">
        <v>636</v>
      </c>
      <c r="D335" t="s">
        <v>581</v>
      </c>
      <c r="E335" t="s">
        <v>329</v>
      </c>
      <c r="F335" t="s">
        <v>307</v>
      </c>
      <c r="G335" t="s">
        <v>487</v>
      </c>
    </row>
    <row r="336" spans="1:7" x14ac:dyDescent="0.25">
      <c r="A336" t="s">
        <v>277</v>
      </c>
      <c r="B336" s="1">
        <v>46231.726446759261</v>
      </c>
      <c r="C336" t="s">
        <v>636</v>
      </c>
      <c r="D336" t="s">
        <v>581</v>
      </c>
      <c r="E336" t="s">
        <v>753</v>
      </c>
      <c r="F336" t="s">
        <v>307</v>
      </c>
      <c r="G336" t="s">
        <v>494</v>
      </c>
    </row>
    <row r="337" spans="1:7" x14ac:dyDescent="0.25">
      <c r="A337" t="s">
        <v>124</v>
      </c>
      <c r="B337" s="1">
        <v>46232.809803240743</v>
      </c>
      <c r="C337" t="s">
        <v>636</v>
      </c>
      <c r="D337" t="s">
        <v>581</v>
      </c>
      <c r="E337" t="s">
        <v>754</v>
      </c>
      <c r="F337" t="s">
        <v>302</v>
      </c>
      <c r="G337" t="s">
        <v>485</v>
      </c>
    </row>
    <row r="338" spans="1:7" x14ac:dyDescent="0.25">
      <c r="A338" t="s">
        <v>145</v>
      </c>
      <c r="B338" s="1">
        <v>46232.392557870371</v>
      </c>
      <c r="C338" t="s">
        <v>636</v>
      </c>
      <c r="D338" t="s">
        <v>581</v>
      </c>
      <c r="E338" t="s">
        <v>755</v>
      </c>
      <c r="F338" t="s">
        <v>307</v>
      </c>
      <c r="G338" t="s">
        <v>494</v>
      </c>
    </row>
    <row r="339" spans="1:7" x14ac:dyDescent="0.25">
      <c r="A339" t="s">
        <v>210</v>
      </c>
      <c r="B339" s="1">
        <v>46232.763449074075</v>
      </c>
      <c r="C339" t="s">
        <v>636</v>
      </c>
      <c r="D339" t="s">
        <v>581</v>
      </c>
      <c r="E339" t="s">
        <v>756</v>
      </c>
      <c r="F339" t="s">
        <v>307</v>
      </c>
      <c r="G339" t="s">
        <v>487</v>
      </c>
    </row>
    <row r="340" spans="1:7" x14ac:dyDescent="0.25">
      <c r="A340" t="s">
        <v>222</v>
      </c>
      <c r="B340" s="1">
        <v>46232.598611111112</v>
      </c>
      <c r="C340" t="s">
        <v>636</v>
      </c>
      <c r="D340" t="s">
        <v>581</v>
      </c>
      <c r="E340" t="s">
        <v>757</v>
      </c>
      <c r="F340" t="s">
        <v>305</v>
      </c>
      <c r="G340" t="s">
        <v>494</v>
      </c>
    </row>
    <row r="341" spans="1:7" x14ac:dyDescent="0.25">
      <c r="A341" t="s">
        <v>245</v>
      </c>
      <c r="B341" s="1">
        <v>46232.384247685186</v>
      </c>
      <c r="C341" t="s">
        <v>636</v>
      </c>
      <c r="D341" t="s">
        <v>581</v>
      </c>
      <c r="E341" t="s">
        <v>758</v>
      </c>
      <c r="F341" t="s">
        <v>305</v>
      </c>
      <c r="G341" t="s">
        <v>483</v>
      </c>
    </row>
    <row r="342" spans="1:7" x14ac:dyDescent="0.25">
      <c r="A342" t="s">
        <v>271</v>
      </c>
      <c r="B342" s="1">
        <v>46232.423101851855</v>
      </c>
      <c r="C342" t="s">
        <v>636</v>
      </c>
      <c r="D342" t="s">
        <v>581</v>
      </c>
      <c r="E342" t="s">
        <v>759</v>
      </c>
      <c r="F342" t="s">
        <v>302</v>
      </c>
      <c r="G342" t="s">
        <v>487</v>
      </c>
    </row>
    <row r="343" spans="1:7" x14ac:dyDescent="0.25">
      <c r="A343" t="s">
        <v>275</v>
      </c>
      <c r="B343" s="1">
        <v>46232.56212962963</v>
      </c>
      <c r="C343" t="s">
        <v>636</v>
      </c>
      <c r="D343" t="s">
        <v>581</v>
      </c>
      <c r="E343" t="s">
        <v>760</v>
      </c>
      <c r="F343" t="s">
        <v>302</v>
      </c>
      <c r="G343" t="s">
        <v>483</v>
      </c>
    </row>
    <row r="344" spans="1:7" x14ac:dyDescent="0.25">
      <c r="A344" t="s">
        <v>289</v>
      </c>
      <c r="B344" s="1">
        <v>46232.617719907408</v>
      </c>
      <c r="C344" t="s">
        <v>636</v>
      </c>
      <c r="D344" t="s">
        <v>581</v>
      </c>
      <c r="E344" t="s">
        <v>761</v>
      </c>
      <c r="F344" t="s">
        <v>302</v>
      </c>
      <c r="G344" t="s">
        <v>487</v>
      </c>
    </row>
    <row r="345" spans="1:7" x14ac:dyDescent="0.25">
      <c r="A345" t="s">
        <v>291</v>
      </c>
      <c r="B345" s="1">
        <v>46232.868379629632</v>
      </c>
      <c r="C345" t="s">
        <v>636</v>
      </c>
      <c r="D345" t="s">
        <v>581</v>
      </c>
      <c r="E345" t="s">
        <v>762</v>
      </c>
      <c r="F345" t="s">
        <v>307</v>
      </c>
      <c r="G345" t="s">
        <v>483</v>
      </c>
    </row>
    <row r="346" spans="1:7" x14ac:dyDescent="0.25">
      <c r="A346" t="s">
        <v>48</v>
      </c>
      <c r="B346" s="1">
        <v>46233.750659722224</v>
      </c>
      <c r="C346" t="s">
        <v>636</v>
      </c>
      <c r="D346" t="s">
        <v>581</v>
      </c>
      <c r="E346" t="s">
        <v>763</v>
      </c>
      <c r="F346" t="s">
        <v>311</v>
      </c>
      <c r="G346" t="s">
        <v>483</v>
      </c>
    </row>
    <row r="347" spans="1:7" x14ac:dyDescent="0.25">
      <c r="A347" t="s">
        <v>154</v>
      </c>
      <c r="B347" s="1">
        <v>46233.873969907407</v>
      </c>
      <c r="C347" t="s">
        <v>636</v>
      </c>
      <c r="D347" t="s">
        <v>581</v>
      </c>
      <c r="E347" t="s">
        <v>764</v>
      </c>
      <c r="F347" t="s">
        <v>307</v>
      </c>
      <c r="G347" t="s">
        <v>487</v>
      </c>
    </row>
    <row r="348" spans="1:7" x14ac:dyDescent="0.25">
      <c r="A348" t="s">
        <v>175</v>
      </c>
      <c r="B348" s="1">
        <v>46233.661527777775</v>
      </c>
      <c r="C348" t="s">
        <v>636</v>
      </c>
      <c r="D348" t="s">
        <v>581</v>
      </c>
      <c r="E348" t="s">
        <v>765</v>
      </c>
      <c r="F348" t="s">
        <v>305</v>
      </c>
      <c r="G348" t="s">
        <v>483</v>
      </c>
    </row>
    <row r="349" spans="1:7" x14ac:dyDescent="0.25">
      <c r="A349" t="s">
        <v>177</v>
      </c>
      <c r="B349" s="1">
        <v>46233.477453703701</v>
      </c>
      <c r="C349" t="s">
        <v>636</v>
      </c>
      <c r="D349" t="s">
        <v>581</v>
      </c>
      <c r="E349" t="s">
        <v>766</v>
      </c>
      <c r="F349" t="s">
        <v>305</v>
      </c>
      <c r="G349" t="s">
        <v>487</v>
      </c>
    </row>
    <row r="350" spans="1:7" x14ac:dyDescent="0.25">
      <c r="A350" t="s">
        <v>190</v>
      </c>
      <c r="B350" s="1">
        <v>46233.75199074074</v>
      </c>
      <c r="C350" t="s">
        <v>636</v>
      </c>
      <c r="D350" t="s">
        <v>581</v>
      </c>
      <c r="E350" t="s">
        <v>767</v>
      </c>
      <c r="F350" t="s">
        <v>307</v>
      </c>
      <c r="G350" t="s">
        <v>485</v>
      </c>
    </row>
    <row r="351" spans="1:7" x14ac:dyDescent="0.25">
      <c r="A351" t="s">
        <v>199</v>
      </c>
      <c r="B351" s="1">
        <v>46233.669953703706</v>
      </c>
      <c r="C351" t="s">
        <v>636</v>
      </c>
      <c r="D351" t="s">
        <v>581</v>
      </c>
      <c r="E351" t="s">
        <v>768</v>
      </c>
      <c r="F351" t="s">
        <v>311</v>
      </c>
      <c r="G351" t="s">
        <v>494</v>
      </c>
    </row>
    <row r="352" spans="1:7" x14ac:dyDescent="0.25">
      <c r="A352" t="s">
        <v>246</v>
      </c>
      <c r="B352" s="1">
        <v>46233.607905092591</v>
      </c>
      <c r="C352" t="s">
        <v>636</v>
      </c>
      <c r="D352" t="s">
        <v>581</v>
      </c>
      <c r="E352" t="s">
        <v>769</v>
      </c>
      <c r="F352" t="s">
        <v>302</v>
      </c>
      <c r="G352" t="s">
        <v>494</v>
      </c>
    </row>
    <row r="353" spans="1:7" x14ac:dyDescent="0.25">
      <c r="A353" t="s">
        <v>95</v>
      </c>
      <c r="B353" s="1">
        <v>46234.541145833333</v>
      </c>
      <c r="C353" t="s">
        <v>636</v>
      </c>
      <c r="D353" t="s">
        <v>581</v>
      </c>
      <c r="E353" t="s">
        <v>770</v>
      </c>
      <c r="F353" t="s">
        <v>311</v>
      </c>
      <c r="G353" t="s">
        <v>485</v>
      </c>
    </row>
    <row r="354" spans="1:7" x14ac:dyDescent="0.25">
      <c r="A354" t="s">
        <v>109</v>
      </c>
      <c r="B354" s="1">
        <v>46234.578993055555</v>
      </c>
      <c r="C354" t="s">
        <v>636</v>
      </c>
      <c r="D354" t="s">
        <v>581</v>
      </c>
      <c r="E354" t="s">
        <v>771</v>
      </c>
      <c r="F354" t="s">
        <v>307</v>
      </c>
      <c r="G354" t="s">
        <v>487</v>
      </c>
    </row>
    <row r="355" spans="1:7" x14ac:dyDescent="0.25">
      <c r="A355" t="s">
        <v>123</v>
      </c>
      <c r="B355" s="1">
        <v>46234.407511574071</v>
      </c>
      <c r="C355" t="s">
        <v>636</v>
      </c>
      <c r="D355" t="s">
        <v>581</v>
      </c>
      <c r="E355" t="s">
        <v>772</v>
      </c>
      <c r="F355" t="s">
        <v>302</v>
      </c>
      <c r="G355" t="s">
        <v>485</v>
      </c>
    </row>
    <row r="356" spans="1:7" x14ac:dyDescent="0.25">
      <c r="A356" t="s">
        <v>201</v>
      </c>
      <c r="B356" s="1">
        <v>46234.39402777778</v>
      </c>
      <c r="C356" t="s">
        <v>636</v>
      </c>
      <c r="D356" t="s">
        <v>581</v>
      </c>
      <c r="E356" t="s">
        <v>773</v>
      </c>
      <c r="F356" t="s">
        <v>307</v>
      </c>
      <c r="G356" t="s">
        <v>494</v>
      </c>
    </row>
    <row r="357" spans="1:7" x14ac:dyDescent="0.25">
      <c r="A357" t="s">
        <v>207</v>
      </c>
      <c r="B357" s="1">
        <v>46234.771099537036</v>
      </c>
      <c r="C357" t="s">
        <v>636</v>
      </c>
      <c r="D357" t="s">
        <v>581</v>
      </c>
      <c r="E357" t="s">
        <v>774</v>
      </c>
      <c r="F357" t="s">
        <v>302</v>
      </c>
      <c r="G357" t="s">
        <v>494</v>
      </c>
    </row>
    <row r="358" spans="1:7" x14ac:dyDescent="0.25">
      <c r="A358" t="s">
        <v>240</v>
      </c>
      <c r="B358" s="1">
        <v>46234.375196759262</v>
      </c>
      <c r="C358" t="s">
        <v>636</v>
      </c>
      <c r="D358" t="s">
        <v>581</v>
      </c>
      <c r="E358" t="s">
        <v>775</v>
      </c>
      <c r="F358" t="s">
        <v>311</v>
      </c>
      <c r="G358" t="s">
        <v>483</v>
      </c>
    </row>
    <row r="359" spans="1:7" x14ac:dyDescent="0.25">
      <c r="A359" t="s">
        <v>96</v>
      </c>
      <c r="B359" s="1">
        <v>46235.630289351851</v>
      </c>
      <c r="C359" t="s">
        <v>636</v>
      </c>
      <c r="D359" t="s">
        <v>581</v>
      </c>
      <c r="E359" t="s">
        <v>776</v>
      </c>
      <c r="F359" t="s">
        <v>311</v>
      </c>
      <c r="G359" t="s">
        <v>485</v>
      </c>
    </row>
    <row r="360" spans="1:7" x14ac:dyDescent="0.25">
      <c r="A360" t="s">
        <v>115</v>
      </c>
      <c r="B360" s="1">
        <v>46235.784560185188</v>
      </c>
      <c r="C360" t="s">
        <v>636</v>
      </c>
      <c r="D360" t="s">
        <v>581</v>
      </c>
      <c r="E360" t="s">
        <v>777</v>
      </c>
      <c r="F360" t="s">
        <v>307</v>
      </c>
      <c r="G360" t="s">
        <v>485</v>
      </c>
    </row>
    <row r="361" spans="1:7" x14ac:dyDescent="0.25">
      <c r="A361" t="s">
        <v>137</v>
      </c>
      <c r="B361" s="1">
        <v>46235.494050925925</v>
      </c>
      <c r="C361" t="s">
        <v>636</v>
      </c>
      <c r="D361" t="s">
        <v>581</v>
      </c>
      <c r="E361" t="s">
        <v>778</v>
      </c>
      <c r="F361" t="s">
        <v>311</v>
      </c>
      <c r="G361" t="s">
        <v>483</v>
      </c>
    </row>
    <row r="362" spans="1:7" x14ac:dyDescent="0.25">
      <c r="A362" t="s">
        <v>229</v>
      </c>
      <c r="B362" s="1">
        <v>46235.833275462966</v>
      </c>
      <c r="C362" t="s">
        <v>636</v>
      </c>
      <c r="D362" t="s">
        <v>581</v>
      </c>
      <c r="E362" t="s">
        <v>779</v>
      </c>
      <c r="F362" t="s">
        <v>302</v>
      </c>
      <c r="G362" t="s">
        <v>487</v>
      </c>
    </row>
    <row r="363" spans="1:7" x14ac:dyDescent="0.25">
      <c r="A363" t="s">
        <v>283</v>
      </c>
      <c r="B363" s="1">
        <v>46235.57540509259</v>
      </c>
      <c r="C363" t="s">
        <v>636</v>
      </c>
      <c r="D363" t="s">
        <v>581</v>
      </c>
      <c r="E363" t="s">
        <v>780</v>
      </c>
      <c r="F363" t="s">
        <v>302</v>
      </c>
      <c r="G363" t="s">
        <v>487</v>
      </c>
    </row>
    <row r="364" spans="1:7" x14ac:dyDescent="0.25">
      <c r="A364" t="s">
        <v>65</v>
      </c>
      <c r="B364" s="1">
        <v>46236.608391203707</v>
      </c>
      <c r="C364" t="s">
        <v>636</v>
      </c>
      <c r="D364" t="s">
        <v>581</v>
      </c>
      <c r="E364" t="s">
        <v>781</v>
      </c>
      <c r="F364" t="s">
        <v>311</v>
      </c>
      <c r="G364" t="s">
        <v>487</v>
      </c>
    </row>
    <row r="365" spans="1:7" x14ac:dyDescent="0.25">
      <c r="A365" t="s">
        <v>78</v>
      </c>
      <c r="B365" s="1">
        <v>46236.454340277778</v>
      </c>
      <c r="C365" t="s">
        <v>636</v>
      </c>
      <c r="D365" t="s">
        <v>581</v>
      </c>
      <c r="E365" t="s">
        <v>782</v>
      </c>
      <c r="F365" t="s">
        <v>302</v>
      </c>
      <c r="G365" t="s">
        <v>485</v>
      </c>
    </row>
    <row r="366" spans="1:7" x14ac:dyDescent="0.25">
      <c r="A366" t="s">
        <v>108</v>
      </c>
      <c r="B366" s="1">
        <v>46236.483414351853</v>
      </c>
      <c r="C366" t="s">
        <v>636</v>
      </c>
      <c r="D366" t="s">
        <v>581</v>
      </c>
      <c r="E366" t="s">
        <v>783</v>
      </c>
      <c r="F366" t="s">
        <v>302</v>
      </c>
      <c r="G366" t="s">
        <v>483</v>
      </c>
    </row>
    <row r="367" spans="1:7" x14ac:dyDescent="0.25">
      <c r="A367" t="s">
        <v>142</v>
      </c>
      <c r="B367" s="1">
        <v>46236.839780092596</v>
      </c>
      <c r="C367" t="s">
        <v>636</v>
      </c>
      <c r="D367" t="s">
        <v>581</v>
      </c>
      <c r="E367" t="s">
        <v>784</v>
      </c>
      <c r="F367" t="s">
        <v>307</v>
      </c>
      <c r="G367" t="s">
        <v>494</v>
      </c>
    </row>
    <row r="368" spans="1:7" x14ac:dyDescent="0.25">
      <c r="A368" t="s">
        <v>161</v>
      </c>
      <c r="B368" s="1">
        <v>46236.516458333332</v>
      </c>
      <c r="C368" t="s">
        <v>636</v>
      </c>
      <c r="D368" t="s">
        <v>581</v>
      </c>
      <c r="E368" t="s">
        <v>785</v>
      </c>
      <c r="F368" t="s">
        <v>307</v>
      </c>
      <c r="G368" t="s">
        <v>494</v>
      </c>
    </row>
    <row r="369" spans="1:7" x14ac:dyDescent="0.25">
      <c r="A369" t="s">
        <v>171</v>
      </c>
      <c r="B369" s="1">
        <v>46236.382349537038</v>
      </c>
      <c r="C369" t="s">
        <v>636</v>
      </c>
      <c r="D369" t="s">
        <v>581</v>
      </c>
      <c r="E369" t="s">
        <v>786</v>
      </c>
      <c r="F369" t="s">
        <v>311</v>
      </c>
      <c r="G369" t="s">
        <v>483</v>
      </c>
    </row>
    <row r="370" spans="1:7" x14ac:dyDescent="0.25">
      <c r="A370" t="s">
        <v>257</v>
      </c>
      <c r="B370" s="1">
        <v>46236.584421296298</v>
      </c>
      <c r="C370" t="s">
        <v>636</v>
      </c>
      <c r="D370" t="s">
        <v>581</v>
      </c>
      <c r="E370" t="s">
        <v>787</v>
      </c>
      <c r="F370" t="s">
        <v>302</v>
      </c>
      <c r="G370" t="s">
        <v>483</v>
      </c>
    </row>
    <row r="371" spans="1:7" x14ac:dyDescent="0.25">
      <c r="A371" t="s">
        <v>57</v>
      </c>
      <c r="B371" s="1">
        <v>46237.559895833336</v>
      </c>
      <c r="C371" t="s">
        <v>636</v>
      </c>
      <c r="D371" t="s">
        <v>581</v>
      </c>
      <c r="E371" t="s">
        <v>788</v>
      </c>
      <c r="F371" t="s">
        <v>307</v>
      </c>
      <c r="G371" t="s">
        <v>483</v>
      </c>
    </row>
    <row r="372" spans="1:7" x14ac:dyDescent="0.25">
      <c r="A372" t="s">
        <v>130</v>
      </c>
      <c r="B372" s="1">
        <v>46237.411041666666</v>
      </c>
      <c r="C372" t="s">
        <v>636</v>
      </c>
      <c r="D372" t="s">
        <v>581</v>
      </c>
      <c r="E372" t="s">
        <v>789</v>
      </c>
      <c r="F372" t="s">
        <v>311</v>
      </c>
      <c r="G372" t="s">
        <v>494</v>
      </c>
    </row>
    <row r="373" spans="1:7" x14ac:dyDescent="0.25">
      <c r="A373" t="s">
        <v>136</v>
      </c>
      <c r="B373" s="1">
        <v>46237.800439814811</v>
      </c>
      <c r="C373" t="s">
        <v>636</v>
      </c>
      <c r="D373" t="s">
        <v>581</v>
      </c>
      <c r="E373" t="s">
        <v>790</v>
      </c>
      <c r="F373" t="s">
        <v>307</v>
      </c>
      <c r="G373" t="s">
        <v>483</v>
      </c>
    </row>
    <row r="374" spans="1:7" x14ac:dyDescent="0.25">
      <c r="A374" t="s">
        <v>791</v>
      </c>
      <c r="B374" s="1">
        <v>46238.533159722225</v>
      </c>
      <c r="C374" t="s">
        <v>636</v>
      </c>
      <c r="D374" t="s">
        <v>581</v>
      </c>
      <c r="E374" t="s">
        <v>792</v>
      </c>
      <c r="F374" t="s">
        <v>302</v>
      </c>
      <c r="G374" t="s">
        <v>483</v>
      </c>
    </row>
    <row r="375" spans="1:7" x14ac:dyDescent="0.25">
      <c r="A375" t="s">
        <v>793</v>
      </c>
      <c r="B375" s="1">
        <v>46238.56144675926</v>
      </c>
      <c r="C375" t="s">
        <v>636</v>
      </c>
      <c r="D375" t="s">
        <v>581</v>
      </c>
      <c r="E375" t="s">
        <v>794</v>
      </c>
      <c r="F375" t="s">
        <v>305</v>
      </c>
      <c r="G375" t="s">
        <v>485</v>
      </c>
    </row>
    <row r="376" spans="1:7" x14ac:dyDescent="0.25">
      <c r="A376" t="s">
        <v>795</v>
      </c>
      <c r="B376" s="1">
        <v>46238.580706018518</v>
      </c>
      <c r="C376" t="s">
        <v>636</v>
      </c>
      <c r="D376" t="s">
        <v>581</v>
      </c>
      <c r="E376" t="s">
        <v>796</v>
      </c>
      <c r="F376" t="s">
        <v>311</v>
      </c>
      <c r="G376" t="s">
        <v>483</v>
      </c>
    </row>
    <row r="377" spans="1:7" x14ac:dyDescent="0.25">
      <c r="A377" t="s">
        <v>797</v>
      </c>
      <c r="B377" s="1">
        <v>46238.661469907405</v>
      </c>
      <c r="C377" t="s">
        <v>636</v>
      </c>
      <c r="D377" t="s">
        <v>581</v>
      </c>
      <c r="E377" t="s">
        <v>798</v>
      </c>
      <c r="F377" t="s">
        <v>302</v>
      </c>
      <c r="G377" t="s">
        <v>487</v>
      </c>
    </row>
    <row r="378" spans="1:7" x14ac:dyDescent="0.25">
      <c r="A378" t="s">
        <v>799</v>
      </c>
      <c r="B378" s="1">
        <v>46238.464675925927</v>
      </c>
      <c r="C378" t="s">
        <v>636</v>
      </c>
      <c r="D378" t="s">
        <v>581</v>
      </c>
      <c r="E378" t="s">
        <v>800</v>
      </c>
      <c r="F378" t="s">
        <v>311</v>
      </c>
      <c r="G378" t="s">
        <v>494</v>
      </c>
    </row>
    <row r="379" spans="1:7" x14ac:dyDescent="0.25">
      <c r="A379" t="s">
        <v>801</v>
      </c>
      <c r="B379" s="1">
        <v>46238.796388888892</v>
      </c>
      <c r="C379" t="s">
        <v>636</v>
      </c>
      <c r="D379" t="s">
        <v>581</v>
      </c>
      <c r="E379" t="s">
        <v>802</v>
      </c>
      <c r="F379" t="s">
        <v>307</v>
      </c>
      <c r="G379" t="s">
        <v>483</v>
      </c>
    </row>
    <row r="380" spans="1:7" x14ac:dyDescent="0.25">
      <c r="A380" t="s">
        <v>803</v>
      </c>
      <c r="B380" s="1">
        <v>46238.480717592596</v>
      </c>
      <c r="C380" t="s">
        <v>636</v>
      </c>
      <c r="D380" t="s">
        <v>581</v>
      </c>
      <c r="E380" t="s">
        <v>804</v>
      </c>
      <c r="F380" t="s">
        <v>311</v>
      </c>
      <c r="G380" t="s">
        <v>494</v>
      </c>
    </row>
    <row r="381" spans="1:7" x14ac:dyDescent="0.25">
      <c r="A381" t="s">
        <v>805</v>
      </c>
      <c r="B381" s="1">
        <v>46239.783125000002</v>
      </c>
      <c r="C381" t="s">
        <v>636</v>
      </c>
      <c r="D381" t="s">
        <v>581</v>
      </c>
      <c r="E381" t="s">
        <v>806</v>
      </c>
      <c r="F381" t="s">
        <v>311</v>
      </c>
      <c r="G381" t="s">
        <v>485</v>
      </c>
    </row>
    <row r="382" spans="1:7" x14ac:dyDescent="0.25">
      <c r="A382" t="s">
        <v>807</v>
      </c>
      <c r="B382" s="1">
        <v>46239.456631944442</v>
      </c>
      <c r="C382" t="s">
        <v>636</v>
      </c>
      <c r="D382" t="s">
        <v>581</v>
      </c>
      <c r="E382" t="s">
        <v>808</v>
      </c>
      <c r="F382" t="s">
        <v>302</v>
      </c>
      <c r="G382" t="s">
        <v>494</v>
      </c>
    </row>
    <row r="383" spans="1:7" x14ac:dyDescent="0.25">
      <c r="A383" t="s">
        <v>809</v>
      </c>
      <c r="B383" s="1">
        <v>46239.603206018517</v>
      </c>
      <c r="C383" t="s">
        <v>636</v>
      </c>
      <c r="D383" t="s">
        <v>581</v>
      </c>
      <c r="E383" t="s">
        <v>810</v>
      </c>
      <c r="F383" t="s">
        <v>302</v>
      </c>
      <c r="G383" t="s">
        <v>494</v>
      </c>
    </row>
    <row r="384" spans="1:7" x14ac:dyDescent="0.25">
      <c r="A384" t="s">
        <v>811</v>
      </c>
      <c r="B384" s="1">
        <v>46239.864212962966</v>
      </c>
      <c r="C384" t="s">
        <v>636</v>
      </c>
      <c r="D384" t="s">
        <v>581</v>
      </c>
      <c r="E384" t="s">
        <v>812</v>
      </c>
      <c r="F384" t="s">
        <v>311</v>
      </c>
      <c r="G384" t="s">
        <v>494</v>
      </c>
    </row>
    <row r="385" spans="1:7" x14ac:dyDescent="0.25">
      <c r="A385" t="s">
        <v>813</v>
      </c>
      <c r="B385" s="1">
        <v>46239.645196759258</v>
      </c>
      <c r="C385" t="s">
        <v>636</v>
      </c>
      <c r="D385" t="s">
        <v>581</v>
      </c>
      <c r="E385" t="s">
        <v>814</v>
      </c>
      <c r="F385" t="s">
        <v>305</v>
      </c>
      <c r="G385" t="s">
        <v>483</v>
      </c>
    </row>
    <row r="386" spans="1:7" x14ac:dyDescent="0.25">
      <c r="A386" t="s">
        <v>815</v>
      </c>
      <c r="B386" s="1">
        <v>46239.639305555553</v>
      </c>
      <c r="C386" t="s">
        <v>636</v>
      </c>
      <c r="D386" t="s">
        <v>581</v>
      </c>
      <c r="E386" t="s">
        <v>816</v>
      </c>
      <c r="F386" t="s">
        <v>302</v>
      </c>
      <c r="G386" t="s">
        <v>494</v>
      </c>
    </row>
    <row r="387" spans="1:7" x14ac:dyDescent="0.25">
      <c r="A387" t="s">
        <v>817</v>
      </c>
      <c r="B387" s="1">
        <v>46240.866493055553</v>
      </c>
      <c r="C387" t="s">
        <v>636</v>
      </c>
      <c r="D387" t="s">
        <v>581</v>
      </c>
      <c r="E387" t="s">
        <v>818</v>
      </c>
      <c r="F387" t="s">
        <v>305</v>
      </c>
      <c r="G387" t="s">
        <v>485</v>
      </c>
    </row>
    <row r="388" spans="1:7" x14ac:dyDescent="0.25">
      <c r="A388" t="s">
        <v>819</v>
      </c>
      <c r="B388" s="1">
        <v>46240.377835648149</v>
      </c>
      <c r="C388" t="s">
        <v>636</v>
      </c>
      <c r="D388" t="s">
        <v>581</v>
      </c>
      <c r="E388" t="s">
        <v>820</v>
      </c>
      <c r="F388" t="s">
        <v>305</v>
      </c>
      <c r="G388" t="s">
        <v>485</v>
      </c>
    </row>
    <row r="389" spans="1:7" x14ac:dyDescent="0.25">
      <c r="A389" t="s">
        <v>821</v>
      </c>
      <c r="B389" s="1">
        <v>46240.607268518521</v>
      </c>
      <c r="C389" t="s">
        <v>636</v>
      </c>
      <c r="D389" t="s">
        <v>581</v>
      </c>
      <c r="E389" t="s">
        <v>822</v>
      </c>
      <c r="F389" t="s">
        <v>311</v>
      </c>
      <c r="G389" t="s">
        <v>485</v>
      </c>
    </row>
    <row r="390" spans="1:7" x14ac:dyDescent="0.25">
      <c r="A390" t="s">
        <v>823</v>
      </c>
      <c r="B390" s="1">
        <v>46240.487581018519</v>
      </c>
      <c r="C390" t="s">
        <v>636</v>
      </c>
      <c r="D390" t="s">
        <v>581</v>
      </c>
      <c r="E390" t="s">
        <v>824</v>
      </c>
      <c r="F390" t="s">
        <v>305</v>
      </c>
      <c r="G390" t="s">
        <v>487</v>
      </c>
    </row>
    <row r="391" spans="1:7" x14ac:dyDescent="0.25">
      <c r="A391" t="s">
        <v>825</v>
      </c>
      <c r="B391" s="1">
        <v>46240.792407407411</v>
      </c>
      <c r="C391" t="s">
        <v>636</v>
      </c>
      <c r="D391" t="s">
        <v>581</v>
      </c>
      <c r="E391" t="s">
        <v>826</v>
      </c>
      <c r="F391" t="s">
        <v>302</v>
      </c>
      <c r="G391" t="s">
        <v>487</v>
      </c>
    </row>
    <row r="392" spans="1:7" x14ac:dyDescent="0.25">
      <c r="A392" t="s">
        <v>827</v>
      </c>
      <c r="B392" s="1">
        <v>46241.754618055558</v>
      </c>
      <c r="C392" t="s">
        <v>636</v>
      </c>
      <c r="D392" t="s">
        <v>581</v>
      </c>
      <c r="E392" t="s">
        <v>828</v>
      </c>
      <c r="F392" t="s">
        <v>302</v>
      </c>
      <c r="G392" t="s">
        <v>487</v>
      </c>
    </row>
    <row r="393" spans="1:7" x14ac:dyDescent="0.25">
      <c r="A393" t="s">
        <v>829</v>
      </c>
      <c r="B393" s="1">
        <v>46241.592164351852</v>
      </c>
      <c r="C393" t="s">
        <v>636</v>
      </c>
      <c r="D393" t="s">
        <v>581</v>
      </c>
      <c r="E393" t="s">
        <v>830</v>
      </c>
      <c r="F393" t="s">
        <v>305</v>
      </c>
      <c r="G393" t="s">
        <v>494</v>
      </c>
    </row>
    <row r="394" spans="1:7" x14ac:dyDescent="0.25">
      <c r="A394" t="s">
        <v>831</v>
      </c>
      <c r="B394" s="1">
        <v>46241.482025462959</v>
      </c>
      <c r="C394" t="s">
        <v>636</v>
      </c>
      <c r="D394" t="s">
        <v>581</v>
      </c>
      <c r="E394" t="s">
        <v>832</v>
      </c>
      <c r="F394" t="s">
        <v>305</v>
      </c>
      <c r="G394" t="s">
        <v>485</v>
      </c>
    </row>
    <row r="395" spans="1:7" x14ac:dyDescent="0.25">
      <c r="A395" t="s">
        <v>833</v>
      </c>
      <c r="B395" s="1">
        <v>46241.783217592594</v>
      </c>
      <c r="C395" t="s">
        <v>636</v>
      </c>
      <c r="D395" t="s">
        <v>581</v>
      </c>
      <c r="E395" t="s">
        <v>834</v>
      </c>
      <c r="F395" t="s">
        <v>307</v>
      </c>
      <c r="G395" t="s">
        <v>487</v>
      </c>
    </row>
    <row r="396" spans="1:7" x14ac:dyDescent="0.25">
      <c r="A396" t="s">
        <v>835</v>
      </c>
      <c r="B396" s="1">
        <v>46241.471261574072</v>
      </c>
      <c r="C396" t="s">
        <v>636</v>
      </c>
      <c r="D396" t="s">
        <v>581</v>
      </c>
      <c r="E396" t="s">
        <v>836</v>
      </c>
      <c r="F396" t="s">
        <v>307</v>
      </c>
      <c r="G396" t="s">
        <v>483</v>
      </c>
    </row>
    <row r="397" spans="1:7" x14ac:dyDescent="0.25">
      <c r="A397" t="s">
        <v>837</v>
      </c>
      <c r="B397" s="1">
        <v>46241.848553240743</v>
      </c>
      <c r="C397" t="s">
        <v>636</v>
      </c>
      <c r="D397" t="s">
        <v>581</v>
      </c>
      <c r="E397" t="s">
        <v>838</v>
      </c>
      <c r="F397" t="s">
        <v>302</v>
      </c>
      <c r="G397" t="s">
        <v>487</v>
      </c>
    </row>
    <row r="398" spans="1:7" x14ac:dyDescent="0.25">
      <c r="A398" t="s">
        <v>839</v>
      </c>
      <c r="B398" s="1">
        <v>46241.506643518522</v>
      </c>
      <c r="C398" t="s">
        <v>636</v>
      </c>
      <c r="D398" t="s">
        <v>581</v>
      </c>
      <c r="E398" t="s">
        <v>840</v>
      </c>
      <c r="F398" t="s">
        <v>307</v>
      </c>
      <c r="G398" t="s">
        <v>494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DE3B4-2E57-4689-9BAA-812DA1B21206}">
  <dimension ref="A2:F31"/>
  <sheetViews>
    <sheetView showGridLines="0" tabSelected="1" workbookViewId="0">
      <selection activeCell="A19" sqref="A19"/>
    </sheetView>
  </sheetViews>
  <sheetFormatPr baseColWidth="10" defaultColWidth="11.42578125" defaultRowHeight="15" x14ac:dyDescent="0.25"/>
  <cols>
    <col min="1" max="1" width="22.42578125" bestFit="1" customWidth="1"/>
    <col min="2" max="2" width="25.28515625" bestFit="1" customWidth="1"/>
    <col min="5" max="5" width="22.42578125" bestFit="1" customWidth="1"/>
    <col min="6" max="6" width="29.85546875" customWidth="1"/>
    <col min="9" max="9" width="22.42578125" bestFit="1" customWidth="1"/>
    <col min="10" max="10" width="17" bestFit="1" customWidth="1"/>
  </cols>
  <sheetData>
    <row r="2" spans="1:6" x14ac:dyDescent="0.25">
      <c r="A2" s="11" t="s">
        <v>841</v>
      </c>
      <c r="B2" s="12" t="s">
        <v>842</v>
      </c>
      <c r="E2" s="11" t="s">
        <v>841</v>
      </c>
      <c r="F2" s="12" t="s">
        <v>843</v>
      </c>
    </row>
    <row r="3" spans="1:6" x14ac:dyDescent="0.25">
      <c r="A3" s="2" t="str" cm="1">
        <f t="array" ref="A3:A10">_xlfn.UNIQUE(Fact_Ventas_Detalle[Producto])</f>
        <v>Monitor 27 UHD</v>
      </c>
      <c r="B3" s="3" cm="1">
        <f t="array" ref="B3">SUMPRODUCT((Fact_Ventas_Detalle[Producto]=Analisis!A3) * ((Fact_Ventas_Detalle[Cantidad] * Fact_Ventas_Detalle[Precio Unitario]) - Fact_Ventas_Detalle[Descuento Linea]))</f>
        <v>84644000</v>
      </c>
      <c r="E3" s="2" t="str" cm="1">
        <f t="array" ref="E3:E10">_xlfn.UNIQUE(Fact_Ventas_Detalle[Producto])</f>
        <v>Monitor 27 UHD</v>
      </c>
      <c r="F3" s="6">
        <f>SUMIF(Fact_Ventas_Detalle[Producto], Analisis!E3, Fact_Ventas_Detalle[Cantidad])</f>
        <v>315</v>
      </c>
    </row>
    <row r="4" spans="1:6" x14ac:dyDescent="0.25">
      <c r="A4" s="2" t="str">
        <v>Auriculares Bluetooth</v>
      </c>
      <c r="B4" s="3" cm="1">
        <f t="array" ref="B4">SUMPRODUCT((Fact_Ventas_Detalle[Producto]=Analisis!A4) * ((Fact_Ventas_Detalle[Cantidad] * Fact_Ventas_Detalle[Precio Unitario]) - Fact_Ventas_Detalle[Descuento Linea]))</f>
        <v>14118000</v>
      </c>
      <c r="E4" s="2" t="str">
        <v>Auriculares Bluetooth</v>
      </c>
      <c r="F4" s="6">
        <f>SUMIF(Fact_Ventas_Detalle[Producto], Analisis!E4, Fact_Ventas_Detalle[Cantidad])</f>
        <v>226</v>
      </c>
    </row>
    <row r="5" spans="1:6" x14ac:dyDescent="0.25">
      <c r="A5" s="2" t="str">
        <v>Webcam 4K Ultra</v>
      </c>
      <c r="B5" s="3" cm="1">
        <f t="array" ref="B5">SUMPRODUCT((Fact_Ventas_Detalle[Producto]=Analisis!A5) * ((Fact_Ventas_Detalle[Cantidad] * Fact_Ventas_Detalle[Precio Unitario]) - Fact_Ventas_Detalle[Descuento Linea]))</f>
        <v>16173750</v>
      </c>
      <c r="E5" s="2" t="str">
        <v>Webcam 4K Ultra</v>
      </c>
      <c r="F5" s="6">
        <f>SUMIF(Fact_Ventas_Detalle[Producto], Analisis!E5, Fact_Ventas_Detalle[Cantidad])</f>
        <v>224</v>
      </c>
    </row>
    <row r="6" spans="1:6" x14ac:dyDescent="0.25">
      <c r="A6" s="2" t="str">
        <v>Teclado Mecánico RGB</v>
      </c>
      <c r="B6" s="3" cm="1">
        <f t="array" ref="B6">SUMPRODUCT((Fact_Ventas_Detalle[Producto]=Analisis!A6) * ((Fact_Ventas_Detalle[Cantidad] * Fact_Ventas_Detalle[Precio Unitario]) - Fact_Ventas_Detalle[Descuento Linea]))</f>
        <v>9441000</v>
      </c>
      <c r="E6" s="2" t="str">
        <v>Teclado Mecánico RGB</v>
      </c>
      <c r="F6" s="6">
        <f>SUMIF(Fact_Ventas_Detalle[Producto], Analisis!E6, Fact_Ventas_Detalle[Cantidad])</f>
        <v>218</v>
      </c>
    </row>
    <row r="7" spans="1:6" x14ac:dyDescent="0.25">
      <c r="A7" s="2" t="str">
        <v>Escritorio Ajustable</v>
      </c>
      <c r="B7" s="3" cm="1">
        <f t="array" ref="B7">SUMPRODUCT((Fact_Ventas_Detalle[Producto]=Analisis!A7) * ((Fact_Ventas_Detalle[Cantidad] * Fact_Ventas_Detalle[Precio Unitario]) - Fact_Ventas_Detalle[Descuento Linea]))</f>
        <v>56112000</v>
      </c>
      <c r="E7" s="2" t="str">
        <v>Escritorio Ajustable</v>
      </c>
      <c r="F7" s="6">
        <f>SUMIF(Fact_Ventas_Detalle[Producto], Analisis!E7, Fact_Ventas_Detalle[Cantidad])</f>
        <v>241</v>
      </c>
    </row>
    <row r="8" spans="1:6" x14ac:dyDescent="0.25">
      <c r="A8" s="2" t="str">
        <v>Notebook Pro 15</v>
      </c>
      <c r="B8" s="3" cm="1">
        <f t="array" ref="B8">SUMPRODUCT((Fact_Ventas_Detalle[Producto]=Analisis!A8) * ((Fact_Ventas_Detalle[Cantidad] * Fact_Ventas_Detalle[Precio Unitario]) - Fact_Ventas_Detalle[Descuento Linea]))</f>
        <v>185427500</v>
      </c>
      <c r="E8" s="2" t="str">
        <v>Notebook Pro 15</v>
      </c>
      <c r="F8" s="6">
        <f>SUMIF(Fact_Ventas_Detalle[Producto], Analisis!E8, Fact_Ventas_Detalle[Cantidad])</f>
        <v>227</v>
      </c>
    </row>
    <row r="9" spans="1:6" x14ac:dyDescent="0.25">
      <c r="A9" s="2" t="str">
        <v>Silla Ergonómica Oficina</v>
      </c>
      <c r="B9" s="3" cm="1">
        <f t="array" ref="B9">SUMPRODUCT((Fact_Ventas_Detalle[Producto]=Analisis!A9) * ((Fact_Ventas_Detalle[Cantidad] * Fact_Ventas_Detalle[Precio Unitario]) - Fact_Ventas_Detalle[Descuento Linea]))</f>
        <v>44871750</v>
      </c>
      <c r="E9" s="2" t="str">
        <v>Silla Ergonómica Oficina</v>
      </c>
      <c r="F9" s="6">
        <f>SUMIF(Fact_Ventas_Detalle[Producto], Analisis!E9, Fact_Ventas_Detalle[Cantidad])</f>
        <v>252</v>
      </c>
    </row>
    <row r="10" spans="1:6" x14ac:dyDescent="0.25">
      <c r="A10" s="4" t="str">
        <v>Mouse Inalámbrico</v>
      </c>
      <c r="B10" s="5" cm="1">
        <f t="array" ref="B10">SUMPRODUCT((Fact_Ventas_Detalle[Producto]=Analisis!A10) * ((Fact_Ventas_Detalle[Cantidad] * Fact_Ventas_Detalle[Precio Unitario]) - Fact_Ventas_Detalle[Descuento Linea]))</f>
        <v>6712500</v>
      </c>
      <c r="E10" s="4" t="str">
        <v>Mouse Inalámbrico</v>
      </c>
      <c r="F10" s="7">
        <f>SUMIF(Fact_Ventas_Detalle[Producto], Analisis!E10, Fact_Ventas_Detalle[Cantidad])</f>
        <v>281</v>
      </c>
    </row>
    <row r="11" spans="1:6" x14ac:dyDescent="0.25">
      <c r="B11" s="8">
        <f>SUM(B3:B10)</f>
        <v>417500500</v>
      </c>
    </row>
    <row r="13" spans="1:6" x14ac:dyDescent="0.25">
      <c r="A13" s="11" t="s">
        <v>844</v>
      </c>
      <c r="B13" s="12" t="s">
        <v>845</v>
      </c>
      <c r="E13" s="11" t="s">
        <v>846</v>
      </c>
      <c r="F13" s="11" t="s">
        <v>847</v>
      </c>
    </row>
    <row r="14" spans="1:6" x14ac:dyDescent="0.25">
      <c r="A14" s="9" cm="1">
        <f t="array" ref="A14:A25">_xlfn.UNIQUE(INT(Fact_Ventas_Cabecera[Fecha Hora]))</f>
        <v>46230</v>
      </c>
      <c r="B14" s="3" cm="1">
        <f t="array" ref="B14">SUMPRODUCT((INT(VLOOKUP(Fact_Ventas_Detalle[ID Transaccion], Fact_Ventas_Cabecera[[ID Transaccion]:[Fecha Hora]], 2, FALSE))=Analisis!A14)*((Fact_Ventas_Detalle[Cantidad]*Fact_Ventas_Detalle[Precio Unitario])-Fact_Ventas_Detalle[Descuento Linea]))</f>
        <v>25867250</v>
      </c>
      <c r="E14" s="10" t="str" cm="1">
        <f t="array" ref="E14:E16">_xlfn.UNIQUE(Fact_Ventas_Cabecera[Canal Venta])</f>
        <v>E-Commerce</v>
      </c>
      <c r="F14" s="3" cm="1">
        <f t="array" ref="F14">SUMPRODUCT((VLOOKUP(Fact_Ventas_Detalle[ID Transaccion],Fact_Ventas_Cabecera[[ID Transaccion]:[Canal Venta]],4,FALSE)=Analisis!E14)*(Fact_Ventas_Detalle[Total]))</f>
        <v>148847500</v>
      </c>
    </row>
    <row r="15" spans="1:6" x14ac:dyDescent="0.25">
      <c r="A15" s="9">
        <v>46231</v>
      </c>
      <c r="B15" s="3" cm="1">
        <f t="array" ref="B15">SUMPRODUCT((INT(VLOOKUP(Fact_Ventas_Detalle[ID Transaccion], Fact_Ventas_Cabecera[[ID Transaccion]:[Fecha Hora]], 2, FALSE))=Analisis!A15)*((Fact_Ventas_Detalle[Cantidad]*Fact_Ventas_Detalle[Precio Unitario])-Fact_Ventas_Detalle[Descuento Linea]))</f>
        <v>40055500</v>
      </c>
      <c r="E15" s="10" t="str">
        <v>Venta Telefónica</v>
      </c>
      <c r="F15" s="3" cm="1">
        <f t="array" ref="F15">SUMPRODUCT((VLOOKUP(Fact_Ventas_Detalle[ID Transaccion],Fact_Ventas_Cabecera[[ID Transaccion]:[Canal Venta]],4,FALSE)=Analisis!E15)*(Fact_Ventas_Detalle[Total]))</f>
        <v>149244750</v>
      </c>
    </row>
    <row r="16" spans="1:6" x14ac:dyDescent="0.25">
      <c r="A16" s="9">
        <v>46232</v>
      </c>
      <c r="B16" s="3" cm="1">
        <f t="array" ref="B16">SUMPRODUCT((INT(VLOOKUP(Fact_Ventas_Detalle[ID Transaccion], Fact_Ventas_Cabecera[[ID Transaccion]:[Fecha Hora]], 2, FALSE))=Analisis!A16)*((Fact_Ventas_Detalle[Cantidad]*Fact_Ventas_Detalle[Precio Unitario])-Fact_Ventas_Detalle[Descuento Linea]))</f>
        <v>42682250</v>
      </c>
      <c r="E16" s="10" t="str">
        <v>Tienda Física</v>
      </c>
      <c r="F16" s="3" cm="1">
        <f t="array" ref="F16">SUMPRODUCT((VLOOKUP(Fact_Ventas_Detalle[ID Transaccion],Fact_Ventas_Cabecera[[ID Transaccion]:[Canal Venta]],4,FALSE)=Analisis!E16)*(Fact_Ventas_Detalle[Total]))</f>
        <v>119408250</v>
      </c>
    </row>
    <row r="17" spans="1:6" x14ac:dyDescent="0.25">
      <c r="A17" s="15">
        <v>46233</v>
      </c>
      <c r="B17" s="3" cm="1">
        <f t="array" ref="B17">SUMPRODUCT((INT(VLOOKUP(Fact_Ventas_Detalle[ID Transaccion], Fact_Ventas_Cabecera[[ID Transaccion]:[Fecha Hora]], 2, FALSE))=Analisis!A17)*((Fact_Ventas_Detalle[Cantidad]*Fact_Ventas_Detalle[Precio Unitario])-Fact_Ventas_Detalle[Descuento Linea]))</f>
        <v>33343250</v>
      </c>
      <c r="E17" s="13"/>
      <c r="F17" s="14">
        <f>SUM(F14:F16)</f>
        <v>417500500</v>
      </c>
    </row>
    <row r="18" spans="1:6" x14ac:dyDescent="0.25">
      <c r="A18" s="15">
        <v>46234</v>
      </c>
      <c r="B18" s="3" cm="1">
        <f t="array" ref="B18">SUMPRODUCT((INT(VLOOKUP(Fact_Ventas_Detalle[ID Transaccion], Fact_Ventas_Cabecera[[ID Transaccion]:[Fecha Hora]], 2, FALSE))=Analisis!A18)*((Fact_Ventas_Detalle[Cantidad]*Fact_Ventas_Detalle[Precio Unitario])-Fact_Ventas_Detalle[Descuento Linea]))</f>
        <v>24447500</v>
      </c>
    </row>
    <row r="19" spans="1:6" x14ac:dyDescent="0.25">
      <c r="A19" s="15">
        <v>46235</v>
      </c>
      <c r="B19" s="3" cm="1">
        <f t="array" ref="B19">SUMPRODUCT((INT(VLOOKUP(Fact_Ventas_Detalle[ID Transaccion], Fact_Ventas_Cabecera[[ID Transaccion]:[Fecha Hora]], 2, FALSE))=Analisis!A19)*((Fact_Ventas_Detalle[Cantidad]*Fact_Ventas_Detalle[Precio Unitario])-Fact_Ventas_Detalle[Descuento Linea]))</f>
        <v>46916250</v>
      </c>
    </row>
    <row r="20" spans="1:6" x14ac:dyDescent="0.25">
      <c r="A20" s="15">
        <v>46236</v>
      </c>
      <c r="B20" s="3" cm="1">
        <f t="array" ref="B20">SUMPRODUCT((INT(VLOOKUP(Fact_Ventas_Detalle[ID Transaccion], Fact_Ventas_Cabecera[[ID Transaccion]:[Fecha Hora]], 2, FALSE))=Analisis!A20)*((Fact_Ventas_Detalle[Cantidad]*Fact_Ventas_Detalle[Precio Unitario])-Fact_Ventas_Detalle[Descuento Linea]))</f>
        <v>36266250</v>
      </c>
    </row>
    <row r="21" spans="1:6" x14ac:dyDescent="0.25">
      <c r="A21" s="15">
        <v>46237</v>
      </c>
      <c r="B21" s="3" cm="1">
        <f t="array" ref="B21">SUMPRODUCT((INT(VLOOKUP(Fact_Ventas_Detalle[ID Transaccion], Fact_Ventas_Cabecera[[ID Transaccion]:[Fecha Hora]], 2, FALSE))=Analisis!A21)*((Fact_Ventas_Detalle[Cantidad]*Fact_Ventas_Detalle[Precio Unitario])-Fact_Ventas_Detalle[Descuento Linea]))</f>
        <v>30951500</v>
      </c>
    </row>
    <row r="22" spans="1:6" x14ac:dyDescent="0.25">
      <c r="A22" s="15">
        <v>46238</v>
      </c>
      <c r="B22" s="3" cm="1">
        <f t="array" ref="B22">SUMPRODUCT((INT(VLOOKUP(Fact_Ventas_Detalle[ID Transaccion], Fact_Ventas_Cabecera[[ID Transaccion]:[Fecha Hora]], 2, FALSE))=Analisis!A22)*((Fact_Ventas_Detalle[Cantidad]*Fact_Ventas_Detalle[Precio Unitario])-Fact_Ventas_Detalle[Descuento Linea]))</f>
        <v>19981000</v>
      </c>
    </row>
    <row r="23" spans="1:6" x14ac:dyDescent="0.25">
      <c r="A23" s="15">
        <v>46239</v>
      </c>
      <c r="B23" s="3" cm="1">
        <f t="array" ref="B23">SUMPRODUCT((INT(VLOOKUP(Fact_Ventas_Detalle[ID Transaccion], Fact_Ventas_Cabecera[[ID Transaccion]:[Fecha Hora]], 2, FALSE))=Analisis!A23)*((Fact_Ventas_Detalle[Cantidad]*Fact_Ventas_Detalle[Precio Unitario])-Fact_Ventas_Detalle[Descuento Linea]))</f>
        <v>43335500</v>
      </c>
    </row>
    <row r="24" spans="1:6" x14ac:dyDescent="0.25">
      <c r="A24" s="15">
        <v>46240</v>
      </c>
      <c r="B24" s="3" cm="1">
        <f t="array" ref="B24">SUMPRODUCT((INT(VLOOKUP(Fact_Ventas_Detalle[ID Transaccion], Fact_Ventas_Cabecera[[ID Transaccion]:[Fecha Hora]], 2, FALSE))=Analisis!A24)*((Fact_Ventas_Detalle[Cantidad]*Fact_Ventas_Detalle[Precio Unitario])-Fact_Ventas_Detalle[Descuento Linea]))</f>
        <v>43461000</v>
      </c>
    </row>
    <row r="25" spans="1:6" x14ac:dyDescent="0.25">
      <c r="A25" s="15">
        <v>46241</v>
      </c>
      <c r="B25" s="3" cm="1">
        <f t="array" ref="B25">SUMPRODUCT((INT(VLOOKUP(Fact_Ventas_Detalle[ID Transaccion], Fact_Ventas_Cabecera[[ID Transaccion]:[Fecha Hora]], 2, FALSE))=Analisis!A25)*((Fact_Ventas_Detalle[Cantidad]*Fact_Ventas_Detalle[Precio Unitario])-Fact_Ventas_Detalle[Descuento Linea]))</f>
        <v>30193250</v>
      </c>
    </row>
    <row r="26" spans="1:6" x14ac:dyDescent="0.25">
      <c r="A26" s="15"/>
      <c r="B26" s="3" cm="1">
        <f t="array" ref="B26">SUMPRODUCT((INT(VLOOKUP(Fact_Ventas_Detalle[ID Transaccion], Fact_Ventas_Cabecera[[ID Transaccion]:[Fecha Hora]], 2, FALSE))=Analisis!A26)*((Fact_Ventas_Detalle[Cantidad]*Fact_Ventas_Detalle[Precio Unitario])-Fact_Ventas_Detalle[Descuento Linea]))</f>
        <v>0</v>
      </c>
    </row>
    <row r="27" spans="1:6" x14ac:dyDescent="0.25">
      <c r="A27" s="15"/>
      <c r="B27" s="3" cm="1">
        <f t="array" ref="B27">SUMPRODUCT((INT(VLOOKUP(Fact_Ventas_Detalle[ID Transaccion], Fact_Ventas_Cabecera[[ID Transaccion]:[Fecha Hora]], 2, FALSE))=Analisis!A27)*((Fact_Ventas_Detalle[Cantidad]*Fact_Ventas_Detalle[Precio Unitario])-Fact_Ventas_Detalle[Descuento Linea]))</f>
        <v>0</v>
      </c>
    </row>
    <row r="28" spans="1:6" x14ac:dyDescent="0.25">
      <c r="A28" s="15"/>
      <c r="B28" s="3" cm="1">
        <f t="array" ref="B28">SUMPRODUCT((INT(VLOOKUP(Fact_Ventas_Detalle[ID Transaccion], Fact_Ventas_Cabecera[[ID Transaccion]:[Fecha Hora]], 2, FALSE))=Analisis!A28)*((Fact_Ventas_Detalle[Cantidad]*Fact_Ventas_Detalle[Precio Unitario])-Fact_Ventas_Detalle[Descuento Linea]))</f>
        <v>0</v>
      </c>
    </row>
    <row r="29" spans="1:6" x14ac:dyDescent="0.25">
      <c r="A29" s="15"/>
      <c r="B29" s="3" cm="1">
        <f t="array" ref="B29">SUMPRODUCT((INT(VLOOKUP(Fact_Ventas_Detalle[ID Transaccion], Fact_Ventas_Cabecera[[ID Transaccion]:[Fecha Hora]], 2, FALSE))=Analisis!A29)*((Fact_Ventas_Detalle[Cantidad]*Fact_Ventas_Detalle[Precio Unitario])-Fact_Ventas_Detalle[Descuento Linea]))</f>
        <v>0</v>
      </c>
    </row>
    <row r="30" spans="1:6" x14ac:dyDescent="0.25">
      <c r="A30" s="15"/>
      <c r="B30" s="16" cm="1">
        <f t="array" ref="B30">SUMPRODUCT((INT(VLOOKUP(Fact_Ventas_Detalle[ID Transaccion], Fact_Ventas_Cabecera[[ID Transaccion]:[Fecha Hora]], 2, FALSE))=Analisis!A30)*((Fact_Ventas_Detalle[Cantidad]*Fact_Ventas_Detalle[Precio Unitario])-Fact_Ventas_Detalle[Descuento Linea]))</f>
        <v>0</v>
      </c>
    </row>
    <row r="31" spans="1:6" x14ac:dyDescent="0.25">
      <c r="A31" s="15"/>
      <c r="B31" s="16" cm="1">
        <f t="array" ref="B31">SUMPRODUCT((INT(VLOOKUP(Fact_Ventas_Detalle[ID Transaccion], Fact_Ventas_Cabecera[[ID Transaccion]:[Fecha Hora]], 2, FALSE))=Analisis!A31)*((Fact_Ventas_Detalle[Cantidad]*Fact_Ventas_Detalle[Precio Unitario])-Fact_Ventas_Detalle[Descuento Linea]))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EFD696E-A714-46A2-B754-647EC03DE236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D67E1B42-D2F6-4779-BDF1-2A23F753E0E2}">
  <ds:schemaRefs>
    <ds:schemaRef ds:uri="http://gemini/pivotcustomization/TableXML_Fact_Ventas_Cabecera_a59ffc1d-662c-4f42-bcb2-372781425e2b"/>
  </ds:schemaRefs>
</ds:datastoreItem>
</file>

<file path=customXml/itemProps3.xml><?xml version="1.0" encoding="utf-8"?>
<ds:datastoreItem xmlns:ds="http://schemas.openxmlformats.org/officeDocument/2006/customXml" ds:itemID="{61C36D20-D6F4-4E2B-8DD9-97A8012A85EA}">
  <ds:schemaRefs>
    <ds:schemaRef ds:uri="http://gemini/pivotcustomization/Diagrams"/>
  </ds:schemaRefs>
</ds:datastoreItem>
</file>

<file path=customXml/itemProps4.xml><?xml version="1.0" encoding="utf-8"?>
<ds:datastoreItem xmlns:ds="http://schemas.openxmlformats.org/officeDocument/2006/customXml" ds:itemID="{AF509DB4-766E-47C2-8382-E85E35300C9C}">
  <ds:schemaRefs>
    <ds:schemaRef ds:uri="http://gemini/pivotcustomization/ClientWindowXML"/>
  </ds:schemaRefs>
</ds:datastoreItem>
</file>

<file path=customXml/itemProps5.xml><?xml version="1.0" encoding="utf-8"?>
<ds:datastoreItem xmlns:ds="http://schemas.openxmlformats.org/officeDocument/2006/customXml" ds:itemID="{255B2207-BED7-4A78-BEF8-3BA3A450BFA7}">
  <ds:schemaRefs>
    <ds:schemaRef ds:uri="http://gemini/pivotcustomization/TableXML_Calendar"/>
  </ds:schemaRefs>
</ds:datastoreItem>
</file>

<file path=customXml/itemProps6.xml><?xml version="1.0" encoding="utf-8"?>
<ds:datastoreItem xmlns:ds="http://schemas.openxmlformats.org/officeDocument/2006/customXml" ds:itemID="{D41F6AF4-BD58-4917-A816-3189091625B7}">
  <ds:schemaRefs>
    <ds:schemaRef ds:uri="http://gemini/pivotcustomization/ShowImplicitMeasures"/>
  </ds:schemaRefs>
</ds:datastoreItem>
</file>

<file path=customXml/itemProps7.xml><?xml version="1.0" encoding="utf-8"?>
<ds:datastoreItem xmlns:ds="http://schemas.openxmlformats.org/officeDocument/2006/customXml" ds:itemID="{394EAA32-F138-4614-8402-BEC105969AF1}">
  <ds:schemaRefs>
    <ds:schemaRef ds:uri="http://gemini/pivotcustomization/ManualCalcMode"/>
  </ds:schemaRefs>
</ds:datastoreItem>
</file>

<file path=customXml/itemProps8.xml><?xml version="1.0" encoding="utf-8"?>
<ds:datastoreItem xmlns:ds="http://schemas.openxmlformats.org/officeDocument/2006/customXml" ds:itemID="{96890E6C-9225-471E-B532-1DD685D5A444}">
  <ds:schemaRefs>
    <ds:schemaRef ds:uri="http://gemini/pivotcustomization/IsSandboxEmbedded"/>
  </ds:schemaRefs>
</ds:datastoreItem>
</file>

<file path=customXml/itemProps9.xml><?xml version="1.0" encoding="utf-8"?>
<ds:datastoreItem xmlns:ds="http://schemas.openxmlformats.org/officeDocument/2006/customXml" ds:itemID="{3F52C385-6DBC-4391-BDA4-03864D8F59EF}">
  <ds:schemaRefs>
    <ds:schemaRef ds:uri="http://gemini/pivotcustomization/LinkedTableUpdateMode"/>
  </ds:schemaRefs>
</ds:datastoreItem>
</file>

<file path=customXml/itemProps10.xml><?xml version="1.0" encoding="utf-8"?>
<ds:datastoreItem xmlns:ds="http://schemas.openxmlformats.org/officeDocument/2006/customXml" ds:itemID="{17BB5EF5-F316-4F29-BEDD-06C530121C0E}">
  <ds:schemaRefs>
    <ds:schemaRef ds:uri="http://gemini/pivotcustomization/TableXML_Fact_Ventas_Detalle_c9a9c1b1-09b1-49cc-b7cb-8300b6c60038"/>
  </ds:schemaRefs>
</ds:datastoreItem>
</file>

<file path=customXml/itemProps11.xml><?xml version="1.0" encoding="utf-8"?>
<ds:datastoreItem xmlns:ds="http://schemas.openxmlformats.org/officeDocument/2006/customXml" ds:itemID="{06A11C78-A377-4770-B74A-82CE97DCB96A}">
  <ds:schemaRefs>
    <ds:schemaRef ds:uri="http://gemini/pivotcustomization/FormulaBarState"/>
  </ds:schemaRefs>
</ds:datastoreItem>
</file>

<file path=customXml/itemProps12.xml><?xml version="1.0" encoding="utf-8"?>
<ds:datastoreItem xmlns:ds="http://schemas.openxmlformats.org/officeDocument/2006/customXml" ds:itemID="{68E3C1FD-6E80-4821-9345-9E280A8F3F1B}">
  <ds:schemaRefs>
    <ds:schemaRef ds:uri="http://gemini/pivotcustomization/MeasureGridState"/>
  </ds:schemaRefs>
</ds:datastoreItem>
</file>

<file path=customXml/itemProps13.xml><?xml version="1.0" encoding="utf-8"?>
<ds:datastoreItem xmlns:ds="http://schemas.openxmlformats.org/officeDocument/2006/customXml" ds:itemID="{2A6CA42B-796B-4721-A3D6-76DE26D1CC54}">
  <ds:schemaRefs>
    <ds:schemaRef ds:uri="http://gemini/pivotcustomization/TableWidget"/>
  </ds:schemaRefs>
</ds:datastoreItem>
</file>

<file path=customXml/itemProps14.xml><?xml version="1.0" encoding="utf-8"?>
<ds:datastoreItem xmlns:ds="http://schemas.openxmlformats.org/officeDocument/2006/customXml" ds:itemID="{F6E89397-E032-4AA4-A11D-5FD593B66C74}">
  <ds:schemaRefs>
    <ds:schemaRef ds:uri="http://gemini/pivotcustomization/ShowHidden"/>
  </ds:schemaRefs>
</ds:datastoreItem>
</file>

<file path=customXml/itemProps15.xml><?xml version="1.0" encoding="utf-8"?>
<ds:datastoreItem xmlns:ds="http://schemas.openxmlformats.org/officeDocument/2006/customXml" ds:itemID="{18DC5301-A765-4343-A5AD-83D3F30A8839}">
  <ds:schemaRefs>
    <ds:schemaRef ds:uri="http://gemini/pivotcustomization/SandboxNonEmpty"/>
  </ds:schemaRefs>
</ds:datastoreItem>
</file>

<file path=customXml/itemProps16.xml><?xml version="1.0" encoding="utf-8"?>
<ds:datastoreItem xmlns:ds="http://schemas.openxmlformats.org/officeDocument/2006/customXml" ds:itemID="{9566EA91-C37A-49C1-A4C9-FE6D1D7864F4}">
  <ds:schemaRefs>
    <ds:schemaRef ds:uri="http://gemini/pivotcustomization/ErrorCache"/>
  </ds:schemaRefs>
</ds:datastoreItem>
</file>

<file path=customXml/itemProps17.xml><?xml version="1.0" encoding="utf-8"?>
<ds:datastoreItem xmlns:ds="http://schemas.openxmlformats.org/officeDocument/2006/customXml" ds:itemID="{79AEFA70-B8DD-42AF-8CC9-D17A85C01904}">
  <ds:schemaRefs>
    <ds:schemaRef ds:uri="http://gemini/pivotcustomization/TableOrder"/>
  </ds:schemaRefs>
</ds:datastoreItem>
</file>

<file path=customXml/itemProps18.xml><?xml version="1.0" encoding="utf-8"?>
<ds:datastoreItem xmlns:ds="http://schemas.openxmlformats.org/officeDocument/2006/customXml" ds:itemID="{AE853D61-09D4-4D7F-9072-27C34EE7493D}">
  <ds:schemaRefs>
    <ds:schemaRef ds:uri="http://gemini/pivotcustomization/RelationshipAutoDetectionEnabled"/>
  </ds:schemaRefs>
</ds:datastoreItem>
</file>

<file path=customXml/itemProps19.xml><?xml version="1.0" encoding="utf-8"?>
<ds:datastoreItem xmlns:ds="http://schemas.openxmlformats.org/officeDocument/2006/customXml" ds:itemID="{2973A9F1-FD4F-4BC6-AAA1-DDADB04074D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Fact_Ventas_Detalle</vt:lpstr>
      <vt:lpstr>Fact_Ventas_Cabecera</vt:lpstr>
      <vt:lpstr>Analisis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matias costa</dc:creator>
  <cp:keywords/>
  <dc:description/>
  <cp:lastModifiedBy>matias costa</cp:lastModifiedBy>
  <cp:revision/>
  <dcterms:created xsi:type="dcterms:W3CDTF">2015-06-05T18:19:34Z</dcterms:created>
  <dcterms:modified xsi:type="dcterms:W3CDTF">2026-09-05T16:04:28Z</dcterms:modified>
  <cp:category/>
  <cp:contentStatus/>
</cp:coreProperties>
</file>